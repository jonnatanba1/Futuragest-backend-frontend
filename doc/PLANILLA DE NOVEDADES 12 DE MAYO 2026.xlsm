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DEV\Futuragest\doc\"/>
    </mc:Choice>
  </mc:AlternateContent>
  <xr:revisionPtr revIDLastSave="0" documentId="13_ncr:1_{311BAF53-5B93-48AD-A254-C4E652798088}" xr6:coauthVersionLast="47" xr6:coauthVersionMax="47" xr10:uidLastSave="{00000000-0000-0000-0000-000000000000}"/>
  <bookViews>
    <workbookView xWindow="-108" yWindow="-108" windowWidth="23256" windowHeight="12456" tabRatio="601" activeTab="4" xr2:uid="{00000000-000D-0000-FFFF-FFFF00000000}"/>
  </bookViews>
  <sheets>
    <sheet name="TH" sheetId="1" r:id="rId1"/>
    <sheet name="Plano" sheetId="5" r:id="rId2"/>
    <sheet name="Datos" sheetId="6" r:id="rId3"/>
    <sheet name="Hoja2" sheetId="8" r:id="rId4"/>
    <sheet name="supervidores" sheetId="7" r:id="rId5"/>
  </sheets>
  <definedNames>
    <definedName name="_xlnm._FilterDatabase" localSheetId="2" hidden="1">Datos!$A$1:$F$876</definedName>
    <definedName name="_xlnm._FilterDatabase" localSheetId="4" hidden="1">supervidores!$A$1:$E$43</definedName>
    <definedName name="_xlnm._FilterDatabase" localSheetId="0" hidden="1">TH!$A$5:$AE$255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80" i="1" l="1"/>
  <c r="O15" i="1" l="1"/>
  <c r="O16" i="1"/>
  <c r="D95" i="1" l="1"/>
  <c r="U41" i="1" l="1"/>
  <c r="O120" i="1" l="1"/>
  <c r="U79" i="1" l="1"/>
  <c r="U81" i="1"/>
  <c r="O105" i="1" l="1"/>
  <c r="O106" i="1"/>
  <c r="U19" i="1" l="1"/>
  <c r="U108" i="1" l="1"/>
  <c r="U109" i="1"/>
  <c r="U110" i="1"/>
  <c r="U83" i="1" l="1"/>
  <c r="O14" i="1" l="1"/>
  <c r="O38" i="1" l="1"/>
  <c r="O39" i="1"/>
  <c r="O110" i="1" l="1"/>
  <c r="U103" i="1"/>
  <c r="U104" i="1"/>
  <c r="U105" i="1"/>
  <c r="O7" i="1"/>
  <c r="U85" i="1" l="1"/>
  <c r="U86" i="1"/>
  <c r="U87" i="1"/>
  <c r="U88" i="1"/>
  <c r="O60" i="1"/>
  <c r="U38" i="1" l="1"/>
  <c r="O50" i="1" l="1"/>
  <c r="O51" i="1"/>
  <c r="O88" i="1" l="1"/>
  <c r="O13" i="1" l="1"/>
  <c r="O65" i="1" l="1"/>
  <c r="U44" i="1"/>
  <c r="U99" i="1" l="1"/>
  <c r="O99" i="1"/>
  <c r="U98" i="1"/>
  <c r="O98" i="1"/>
  <c r="U97" i="1"/>
  <c r="O97" i="1"/>
  <c r="U96" i="1"/>
  <c r="O96" i="1"/>
  <c r="U95" i="1"/>
  <c r="O95" i="1"/>
  <c r="U94" i="1"/>
  <c r="O94" i="1"/>
  <c r="U93" i="1"/>
  <c r="O93" i="1"/>
  <c r="U92" i="1"/>
  <c r="O92" i="1"/>
  <c r="U91" i="1"/>
  <c r="O91" i="1"/>
  <c r="U90" i="1"/>
  <c r="O90" i="1"/>
  <c r="U89" i="1"/>
  <c r="O89" i="1"/>
  <c r="O87" i="1"/>
  <c r="O86" i="1"/>
  <c r="D62" i="1" l="1"/>
  <c r="O35" i="1" l="1"/>
  <c r="O36" i="1" l="1"/>
  <c r="O58" i="1" l="1"/>
  <c r="O57" i="1"/>
  <c r="O56" i="1"/>
  <c r="O55" i="1"/>
  <c r="O54" i="1"/>
  <c r="O53" i="1"/>
  <c r="O52" i="1"/>
  <c r="O49" i="1"/>
  <c r="U50" i="1" l="1"/>
  <c r="O80" i="1" l="1"/>
  <c r="U57" i="1" l="1"/>
  <c r="O75" i="1" l="1"/>
  <c r="O76" i="1"/>
  <c r="O72" i="1" l="1"/>
  <c r="O69" i="1" l="1"/>
  <c r="U106" i="1" l="1"/>
  <c r="U34" i="1" l="1"/>
  <c r="U15" i="1"/>
  <c r="U14" i="1" l="1"/>
  <c r="U24" i="1" l="1"/>
  <c r="U25" i="1"/>
  <c r="O84" i="1" l="1"/>
  <c r="O26" i="1" l="1"/>
  <c r="U107" i="1" l="1"/>
  <c r="U39" i="1" l="1"/>
  <c r="U37" i="1"/>
  <c r="K18" i="5" l="1"/>
  <c r="J18" i="5"/>
  <c r="U22" i="1" l="1"/>
  <c r="D90" i="1" l="1"/>
  <c r="D84" i="1"/>
  <c r="U11" i="1" l="1"/>
  <c r="O22" i="1" l="1"/>
  <c r="O23" i="1"/>
  <c r="O24" i="1"/>
  <c r="O25" i="1"/>
  <c r="O27" i="1"/>
  <c r="O28" i="1"/>
  <c r="O29" i="1"/>
  <c r="O30" i="1"/>
  <c r="O31" i="1"/>
  <c r="O32" i="1"/>
  <c r="O33" i="1"/>
  <c r="O34" i="1"/>
  <c r="O37" i="1"/>
  <c r="O40" i="1"/>
  <c r="O41" i="1"/>
  <c r="O42" i="1"/>
  <c r="O43" i="1"/>
  <c r="O44" i="1"/>
  <c r="O45" i="1"/>
  <c r="O46" i="1"/>
  <c r="O47" i="1"/>
  <c r="O48" i="1"/>
  <c r="O59" i="1"/>
  <c r="O61" i="1"/>
  <c r="O62" i="1"/>
  <c r="O63" i="1"/>
  <c r="O64" i="1"/>
  <c r="O66" i="1"/>
  <c r="O67" i="1"/>
  <c r="O68" i="1"/>
  <c r="O70" i="1"/>
  <c r="O71" i="1"/>
  <c r="O73" i="1"/>
  <c r="O74" i="1"/>
  <c r="O77" i="1"/>
  <c r="O78" i="1"/>
  <c r="O79" i="1"/>
  <c r="O81" i="1"/>
  <c r="O82" i="1"/>
  <c r="O83" i="1"/>
  <c r="O85" i="1"/>
  <c r="O100" i="1"/>
  <c r="O101" i="1"/>
  <c r="O102" i="1"/>
  <c r="O103" i="1"/>
  <c r="O104" i="1"/>
  <c r="O107" i="1"/>
  <c r="O108" i="1"/>
  <c r="O109" i="1"/>
  <c r="O111" i="1"/>
  <c r="O112" i="1"/>
  <c r="O113" i="1"/>
  <c r="O114" i="1"/>
  <c r="O115" i="1"/>
  <c r="O116" i="1"/>
  <c r="O117" i="1"/>
  <c r="O118" i="1"/>
  <c r="O119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D78" i="1" l="1"/>
  <c r="D81" i="1" l="1"/>
  <c r="D82" i="1"/>
  <c r="D83" i="1"/>
  <c r="D80" i="1"/>
  <c r="U17" i="1" l="1"/>
  <c r="U111" i="1" l="1"/>
  <c r="U84" i="1"/>
  <c r="U74" i="1" l="1"/>
  <c r="U75" i="1"/>
  <c r="U76" i="1"/>
  <c r="U35" i="1" l="1"/>
  <c r="U36" i="1"/>
  <c r="U7" i="1" l="1"/>
  <c r="U8" i="1" l="1"/>
  <c r="U58" i="1" l="1"/>
  <c r="U16" i="1"/>
  <c r="O11" i="1" l="1"/>
  <c r="D41" i="1" l="1"/>
  <c r="U194" i="1" l="1"/>
  <c r="D6" i="1" l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9" i="1"/>
  <c r="D85" i="1"/>
  <c r="D86" i="1"/>
  <c r="D87" i="1"/>
  <c r="D88" i="1"/>
  <c r="D89" i="1"/>
  <c r="D91" i="1"/>
  <c r="D92" i="1"/>
  <c r="D93" i="1"/>
  <c r="D94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U29" i="1" l="1"/>
  <c r="O19" i="1" l="1"/>
  <c r="C62" i="1" l="1"/>
  <c r="B6" i="1" l="1"/>
  <c r="C6" i="1"/>
  <c r="K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B255" i="1"/>
  <c r="F3" i="5" l="1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 l="1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U12" i="1" l="1"/>
  <c r="U13" i="1"/>
  <c r="U18" i="1"/>
  <c r="U20" i="1"/>
  <c r="U21" i="1"/>
  <c r="U23" i="1"/>
  <c r="U26" i="1"/>
  <c r="U27" i="1"/>
  <c r="U28" i="1"/>
  <c r="U30" i="1"/>
  <c r="U31" i="1"/>
  <c r="U32" i="1"/>
  <c r="U33" i="1"/>
  <c r="U40" i="1"/>
  <c r="U42" i="1"/>
  <c r="U43" i="1"/>
  <c r="U45" i="1"/>
  <c r="U46" i="1"/>
  <c r="U47" i="1"/>
  <c r="U48" i="1"/>
  <c r="U49" i="1"/>
  <c r="U51" i="1"/>
  <c r="U52" i="1"/>
  <c r="U53" i="1"/>
  <c r="U54" i="1"/>
  <c r="U55" i="1"/>
  <c r="U56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7" i="1"/>
  <c r="U78" i="1"/>
  <c r="U82" i="1"/>
  <c r="U100" i="1"/>
  <c r="U101" i="1"/>
  <c r="U102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O8" i="1" l="1"/>
  <c r="J3" i="5" l="1"/>
  <c r="K3" i="5"/>
  <c r="J4" i="5"/>
  <c r="K4" i="5"/>
  <c r="J5" i="5"/>
  <c r="K5" i="5"/>
  <c r="J6" i="5"/>
  <c r="K6" i="5"/>
  <c r="J7" i="5"/>
  <c r="K7" i="5"/>
  <c r="J8" i="5"/>
  <c r="K8" i="5"/>
  <c r="J9" i="5"/>
  <c r="K9" i="5"/>
  <c r="J10" i="5"/>
  <c r="K10" i="5"/>
  <c r="J11" i="5"/>
  <c r="K11" i="5"/>
  <c r="J12" i="5"/>
  <c r="K12" i="5"/>
  <c r="J13" i="5"/>
  <c r="K13" i="5"/>
  <c r="J14" i="5"/>
  <c r="K14" i="5"/>
  <c r="J15" i="5"/>
  <c r="K15" i="5"/>
  <c r="J16" i="5"/>
  <c r="K16" i="5"/>
  <c r="J17" i="5"/>
  <c r="K17" i="5"/>
  <c r="J19" i="5"/>
  <c r="K19" i="5"/>
  <c r="J20" i="5"/>
  <c r="K20" i="5"/>
  <c r="J21" i="5"/>
  <c r="K21" i="5"/>
  <c r="J22" i="5"/>
  <c r="K22" i="5"/>
  <c r="J23" i="5"/>
  <c r="K23" i="5"/>
  <c r="J24" i="5"/>
  <c r="K24" i="5"/>
  <c r="J25" i="5"/>
  <c r="K25" i="5"/>
  <c r="J26" i="5"/>
  <c r="K26" i="5"/>
  <c r="J27" i="5"/>
  <c r="K27" i="5"/>
  <c r="J28" i="5"/>
  <c r="K28" i="5"/>
  <c r="J29" i="5"/>
  <c r="K29" i="5"/>
  <c r="J30" i="5"/>
  <c r="K30" i="5"/>
  <c r="J31" i="5"/>
  <c r="K31" i="5"/>
  <c r="J32" i="5"/>
  <c r="K32" i="5"/>
  <c r="J33" i="5"/>
  <c r="K33" i="5"/>
  <c r="J34" i="5"/>
  <c r="K34" i="5"/>
  <c r="J35" i="5"/>
  <c r="K35" i="5"/>
  <c r="J36" i="5"/>
  <c r="K36" i="5"/>
  <c r="J37" i="5"/>
  <c r="K37" i="5"/>
  <c r="J38" i="5"/>
  <c r="K38" i="5"/>
  <c r="J39" i="5"/>
  <c r="K39" i="5"/>
  <c r="J40" i="5"/>
  <c r="K40" i="5"/>
  <c r="J41" i="5"/>
  <c r="K41" i="5"/>
  <c r="J42" i="5"/>
  <c r="K42" i="5"/>
  <c r="J43" i="5"/>
  <c r="K43" i="5"/>
  <c r="J44" i="5"/>
  <c r="K44" i="5"/>
  <c r="J45" i="5"/>
  <c r="K45" i="5"/>
  <c r="J46" i="5"/>
  <c r="K46" i="5"/>
  <c r="J47" i="5"/>
  <c r="K47" i="5"/>
  <c r="J48" i="5"/>
  <c r="K48" i="5"/>
  <c r="J49" i="5"/>
  <c r="K49" i="5"/>
  <c r="J50" i="5"/>
  <c r="K50" i="5"/>
  <c r="J51" i="5"/>
  <c r="K51" i="5"/>
  <c r="J52" i="5"/>
  <c r="K52" i="5"/>
  <c r="J53" i="5"/>
  <c r="K53" i="5"/>
  <c r="J54" i="5"/>
  <c r="K54" i="5"/>
  <c r="J55" i="5"/>
  <c r="K55" i="5"/>
  <c r="J56" i="5"/>
  <c r="K56" i="5"/>
  <c r="J57" i="5"/>
  <c r="K57" i="5"/>
  <c r="J58" i="5"/>
  <c r="K58" i="5"/>
  <c r="J59" i="5"/>
  <c r="K59" i="5"/>
  <c r="J60" i="5"/>
  <c r="K60" i="5"/>
  <c r="J61" i="5"/>
  <c r="K61" i="5"/>
  <c r="J62" i="5"/>
  <c r="K62" i="5"/>
  <c r="J63" i="5"/>
  <c r="K63" i="5"/>
  <c r="J64" i="5"/>
  <c r="K64" i="5"/>
  <c r="J65" i="5"/>
  <c r="K65" i="5"/>
  <c r="J66" i="5"/>
  <c r="K66" i="5"/>
  <c r="J67" i="5"/>
  <c r="K67" i="5"/>
  <c r="J68" i="5"/>
  <c r="K68" i="5"/>
  <c r="J69" i="5"/>
  <c r="K69" i="5"/>
  <c r="J70" i="5"/>
  <c r="K70" i="5"/>
  <c r="J71" i="5"/>
  <c r="K71" i="5"/>
  <c r="J72" i="5"/>
  <c r="K72" i="5"/>
  <c r="J73" i="5"/>
  <c r="K73" i="5"/>
  <c r="J74" i="5"/>
  <c r="K74" i="5"/>
  <c r="J75" i="5"/>
  <c r="K75" i="5"/>
  <c r="J76" i="5"/>
  <c r="K76" i="5"/>
  <c r="J77" i="5"/>
  <c r="K77" i="5"/>
  <c r="J78" i="5"/>
  <c r="K78" i="5"/>
  <c r="J79" i="5"/>
  <c r="K79" i="5"/>
  <c r="J80" i="5"/>
  <c r="K80" i="5"/>
  <c r="J81" i="5"/>
  <c r="K81" i="5"/>
  <c r="J82" i="5"/>
  <c r="K82" i="5"/>
  <c r="J83" i="5"/>
  <c r="K83" i="5"/>
  <c r="J84" i="5"/>
  <c r="K84" i="5"/>
  <c r="J85" i="5"/>
  <c r="K85" i="5"/>
  <c r="J86" i="5"/>
  <c r="K86" i="5"/>
  <c r="J87" i="5"/>
  <c r="K87" i="5"/>
  <c r="J88" i="5"/>
  <c r="K88" i="5"/>
  <c r="J89" i="5"/>
  <c r="K89" i="5"/>
  <c r="J90" i="5"/>
  <c r="K90" i="5"/>
  <c r="J91" i="5"/>
  <c r="K91" i="5"/>
  <c r="J92" i="5"/>
  <c r="K92" i="5"/>
  <c r="J93" i="5"/>
  <c r="K93" i="5"/>
  <c r="J94" i="5"/>
  <c r="K94" i="5"/>
  <c r="J95" i="5"/>
  <c r="K95" i="5"/>
  <c r="J96" i="5"/>
  <c r="K96" i="5"/>
  <c r="J97" i="5"/>
  <c r="K97" i="5"/>
  <c r="J98" i="5"/>
  <c r="K98" i="5"/>
  <c r="J99" i="5"/>
  <c r="K99" i="5"/>
  <c r="J100" i="5"/>
  <c r="K100" i="5"/>
  <c r="J101" i="5"/>
  <c r="K101" i="5"/>
  <c r="J102" i="5"/>
  <c r="K102" i="5"/>
  <c r="J103" i="5"/>
  <c r="K103" i="5"/>
  <c r="J104" i="5"/>
  <c r="K104" i="5"/>
  <c r="J105" i="5"/>
  <c r="K105" i="5"/>
  <c r="J106" i="5"/>
  <c r="K106" i="5"/>
  <c r="J107" i="5"/>
  <c r="K107" i="5"/>
  <c r="J108" i="5"/>
  <c r="K108" i="5"/>
  <c r="J109" i="5"/>
  <c r="K109" i="5"/>
  <c r="J110" i="5"/>
  <c r="K110" i="5"/>
  <c r="J111" i="5"/>
  <c r="K111" i="5"/>
  <c r="J112" i="5"/>
  <c r="K112" i="5"/>
  <c r="J113" i="5"/>
  <c r="K113" i="5"/>
  <c r="J114" i="5"/>
  <c r="K114" i="5"/>
  <c r="J115" i="5"/>
  <c r="K115" i="5"/>
  <c r="J116" i="5"/>
  <c r="K116" i="5"/>
  <c r="J117" i="5"/>
  <c r="K117" i="5"/>
  <c r="J118" i="5"/>
  <c r="K118" i="5"/>
  <c r="J119" i="5"/>
  <c r="K119" i="5"/>
  <c r="J120" i="5"/>
  <c r="K120" i="5"/>
  <c r="J121" i="5"/>
  <c r="K121" i="5"/>
  <c r="J122" i="5"/>
  <c r="K122" i="5"/>
  <c r="J123" i="5"/>
  <c r="K123" i="5"/>
  <c r="J124" i="5"/>
  <c r="K124" i="5"/>
  <c r="J125" i="5"/>
  <c r="K125" i="5"/>
  <c r="J126" i="5"/>
  <c r="K126" i="5"/>
  <c r="J127" i="5"/>
  <c r="K127" i="5"/>
  <c r="J128" i="5"/>
  <c r="K128" i="5"/>
  <c r="J129" i="5"/>
  <c r="K129" i="5"/>
  <c r="J130" i="5"/>
  <c r="K130" i="5"/>
  <c r="J131" i="5"/>
  <c r="K131" i="5"/>
  <c r="J132" i="5"/>
  <c r="K132" i="5"/>
  <c r="J133" i="5"/>
  <c r="K133" i="5"/>
  <c r="J134" i="5"/>
  <c r="K134" i="5"/>
  <c r="J135" i="5"/>
  <c r="K135" i="5"/>
  <c r="J136" i="5"/>
  <c r="K136" i="5"/>
  <c r="J137" i="5"/>
  <c r="K137" i="5"/>
  <c r="J138" i="5"/>
  <c r="K138" i="5"/>
  <c r="J139" i="5"/>
  <c r="K139" i="5"/>
  <c r="J140" i="5"/>
  <c r="K140" i="5"/>
  <c r="J141" i="5"/>
  <c r="K141" i="5"/>
  <c r="J142" i="5"/>
  <c r="K142" i="5"/>
  <c r="J143" i="5"/>
  <c r="K143" i="5"/>
  <c r="J144" i="5"/>
  <c r="K144" i="5"/>
  <c r="J145" i="5"/>
  <c r="K145" i="5"/>
  <c r="J146" i="5"/>
  <c r="K146" i="5"/>
  <c r="J147" i="5"/>
  <c r="K147" i="5"/>
  <c r="J148" i="5"/>
  <c r="K148" i="5"/>
  <c r="J149" i="5"/>
  <c r="K149" i="5"/>
  <c r="J150" i="5"/>
  <c r="K150" i="5"/>
  <c r="J151" i="5"/>
  <c r="K151" i="5"/>
  <c r="J152" i="5"/>
  <c r="K152" i="5"/>
  <c r="J153" i="5"/>
  <c r="K153" i="5"/>
  <c r="J154" i="5"/>
  <c r="K154" i="5"/>
  <c r="J155" i="5"/>
  <c r="K155" i="5"/>
  <c r="J156" i="5"/>
  <c r="K156" i="5"/>
  <c r="J157" i="5"/>
  <c r="K157" i="5"/>
  <c r="J158" i="5"/>
  <c r="K158" i="5"/>
  <c r="J159" i="5"/>
  <c r="K159" i="5"/>
  <c r="J160" i="5"/>
  <c r="K160" i="5"/>
  <c r="J161" i="5"/>
  <c r="K161" i="5"/>
  <c r="J162" i="5"/>
  <c r="K162" i="5"/>
  <c r="J163" i="5"/>
  <c r="K163" i="5"/>
  <c r="J164" i="5"/>
  <c r="K164" i="5"/>
  <c r="J165" i="5"/>
  <c r="K165" i="5"/>
  <c r="J166" i="5"/>
  <c r="K166" i="5"/>
  <c r="J167" i="5"/>
  <c r="K167" i="5"/>
  <c r="J168" i="5"/>
  <c r="K168" i="5"/>
  <c r="J169" i="5"/>
  <c r="K169" i="5"/>
  <c r="J170" i="5"/>
  <c r="K170" i="5"/>
  <c r="J171" i="5"/>
  <c r="K171" i="5"/>
  <c r="J172" i="5"/>
  <c r="K172" i="5"/>
  <c r="J173" i="5"/>
  <c r="K173" i="5"/>
  <c r="J174" i="5"/>
  <c r="K174" i="5"/>
  <c r="J175" i="5"/>
  <c r="K175" i="5"/>
  <c r="J176" i="5"/>
  <c r="K176" i="5"/>
  <c r="J177" i="5"/>
  <c r="K177" i="5"/>
  <c r="J178" i="5"/>
  <c r="K178" i="5"/>
  <c r="J179" i="5"/>
  <c r="K179" i="5"/>
  <c r="J180" i="5"/>
  <c r="K180" i="5"/>
  <c r="J181" i="5"/>
  <c r="K181" i="5"/>
  <c r="J182" i="5"/>
  <c r="K182" i="5"/>
  <c r="J183" i="5"/>
  <c r="K183" i="5"/>
  <c r="J184" i="5"/>
  <c r="K184" i="5"/>
  <c r="J185" i="5"/>
  <c r="K185" i="5"/>
  <c r="J186" i="5"/>
  <c r="K186" i="5"/>
  <c r="J187" i="5"/>
  <c r="K187" i="5"/>
  <c r="J188" i="5"/>
  <c r="K188" i="5"/>
  <c r="J189" i="5"/>
  <c r="K189" i="5"/>
  <c r="J190" i="5"/>
  <c r="K190" i="5"/>
  <c r="J191" i="5"/>
  <c r="K191" i="5"/>
  <c r="J192" i="5"/>
  <c r="K192" i="5"/>
  <c r="J193" i="5"/>
  <c r="K193" i="5"/>
  <c r="J194" i="5"/>
  <c r="K194" i="5"/>
  <c r="J195" i="5"/>
  <c r="K195" i="5"/>
  <c r="J196" i="5"/>
  <c r="K196" i="5"/>
  <c r="J197" i="5"/>
  <c r="K197" i="5"/>
  <c r="J198" i="5"/>
  <c r="K198" i="5"/>
  <c r="J199" i="5"/>
  <c r="K199" i="5"/>
  <c r="J200" i="5"/>
  <c r="K200" i="5"/>
  <c r="J201" i="5"/>
  <c r="K201" i="5"/>
  <c r="J202" i="5"/>
  <c r="K202" i="5"/>
  <c r="J203" i="5"/>
  <c r="K203" i="5"/>
  <c r="J204" i="5"/>
  <c r="K204" i="5"/>
  <c r="J205" i="5"/>
  <c r="K205" i="5"/>
  <c r="J206" i="5"/>
  <c r="K206" i="5"/>
  <c r="J207" i="5"/>
  <c r="K207" i="5"/>
  <c r="J208" i="5"/>
  <c r="K208" i="5"/>
  <c r="J209" i="5"/>
  <c r="K209" i="5"/>
  <c r="J210" i="5"/>
  <c r="K210" i="5"/>
  <c r="J211" i="5"/>
  <c r="K211" i="5"/>
  <c r="J212" i="5"/>
  <c r="K212" i="5"/>
  <c r="J213" i="5"/>
  <c r="K213" i="5"/>
  <c r="J214" i="5"/>
  <c r="K214" i="5"/>
  <c r="J215" i="5"/>
  <c r="K215" i="5"/>
  <c r="J216" i="5"/>
  <c r="K216" i="5"/>
  <c r="J217" i="5"/>
  <c r="K217" i="5"/>
  <c r="J218" i="5"/>
  <c r="K218" i="5"/>
  <c r="J219" i="5"/>
  <c r="K219" i="5"/>
  <c r="J220" i="5"/>
  <c r="K220" i="5"/>
  <c r="J221" i="5"/>
  <c r="K221" i="5"/>
  <c r="J222" i="5"/>
  <c r="K222" i="5"/>
  <c r="J223" i="5"/>
  <c r="K223" i="5"/>
  <c r="J224" i="5"/>
  <c r="K224" i="5"/>
  <c r="J225" i="5"/>
  <c r="K225" i="5"/>
  <c r="J226" i="5"/>
  <c r="K226" i="5"/>
  <c r="J227" i="5"/>
  <c r="K227" i="5"/>
  <c r="J228" i="5"/>
  <c r="K228" i="5"/>
  <c r="J229" i="5"/>
  <c r="K229" i="5"/>
  <c r="J230" i="5"/>
  <c r="K230" i="5"/>
  <c r="J231" i="5"/>
  <c r="K231" i="5"/>
  <c r="J232" i="5"/>
  <c r="K232" i="5"/>
  <c r="J233" i="5"/>
  <c r="K233" i="5"/>
  <c r="J234" i="5"/>
  <c r="K234" i="5"/>
  <c r="J235" i="5"/>
  <c r="K235" i="5"/>
  <c r="J236" i="5"/>
  <c r="K236" i="5"/>
  <c r="J237" i="5"/>
  <c r="K237" i="5"/>
  <c r="J238" i="5"/>
  <c r="K238" i="5"/>
  <c r="J239" i="5"/>
  <c r="K239" i="5"/>
  <c r="J240" i="5"/>
  <c r="K240" i="5"/>
  <c r="J241" i="5"/>
  <c r="K241" i="5"/>
  <c r="J242" i="5"/>
  <c r="K242" i="5"/>
  <c r="J243" i="5"/>
  <c r="K243" i="5"/>
  <c r="J244" i="5"/>
  <c r="K244" i="5"/>
  <c r="J245" i="5"/>
  <c r="K245" i="5"/>
  <c r="J246" i="5"/>
  <c r="K246" i="5"/>
  <c r="J247" i="5"/>
  <c r="K247" i="5"/>
  <c r="J248" i="5"/>
  <c r="K248" i="5"/>
  <c r="J249" i="5"/>
  <c r="K249" i="5"/>
  <c r="J250" i="5"/>
  <c r="K250" i="5"/>
  <c r="J251" i="5"/>
  <c r="K251" i="5"/>
  <c r="B3" i="5"/>
  <c r="C3" i="5"/>
  <c r="D3" i="5"/>
  <c r="E3" i="5"/>
  <c r="G3" i="5"/>
  <c r="H3" i="5"/>
  <c r="I3" i="5"/>
  <c r="B4" i="5"/>
  <c r="C4" i="5"/>
  <c r="D4" i="5"/>
  <c r="E4" i="5"/>
  <c r="G4" i="5"/>
  <c r="H4" i="5"/>
  <c r="I4" i="5"/>
  <c r="B5" i="5"/>
  <c r="C5" i="5"/>
  <c r="D5" i="5"/>
  <c r="E5" i="5"/>
  <c r="G5" i="5"/>
  <c r="H5" i="5"/>
  <c r="I5" i="5"/>
  <c r="B6" i="5"/>
  <c r="C6" i="5"/>
  <c r="D6" i="5"/>
  <c r="E6" i="5"/>
  <c r="G6" i="5"/>
  <c r="I6" i="5"/>
  <c r="B7" i="5"/>
  <c r="C7" i="5"/>
  <c r="D7" i="5"/>
  <c r="E7" i="5"/>
  <c r="G7" i="5"/>
  <c r="I7" i="5"/>
  <c r="B8" i="5"/>
  <c r="C8" i="5"/>
  <c r="D8" i="5"/>
  <c r="E8" i="5"/>
  <c r="G8" i="5"/>
  <c r="I8" i="5"/>
  <c r="B9" i="5"/>
  <c r="C9" i="5"/>
  <c r="D9" i="5"/>
  <c r="E9" i="5"/>
  <c r="G9" i="5"/>
  <c r="I9" i="5"/>
  <c r="B10" i="5"/>
  <c r="C10" i="5"/>
  <c r="D10" i="5"/>
  <c r="E10" i="5"/>
  <c r="G10" i="5"/>
  <c r="I10" i="5"/>
  <c r="B11" i="5"/>
  <c r="C11" i="5"/>
  <c r="D11" i="5"/>
  <c r="E11" i="5"/>
  <c r="G11" i="5"/>
  <c r="I11" i="5"/>
  <c r="B12" i="5"/>
  <c r="C12" i="5"/>
  <c r="D12" i="5"/>
  <c r="E12" i="5"/>
  <c r="G12" i="5"/>
  <c r="I12" i="5"/>
  <c r="B13" i="5"/>
  <c r="C13" i="5"/>
  <c r="D13" i="5"/>
  <c r="E13" i="5"/>
  <c r="G13" i="5"/>
  <c r="I13" i="5"/>
  <c r="B14" i="5"/>
  <c r="C14" i="5"/>
  <c r="D14" i="5"/>
  <c r="E14" i="5"/>
  <c r="G14" i="5"/>
  <c r="I14" i="5"/>
  <c r="B15" i="5"/>
  <c r="C15" i="5"/>
  <c r="D15" i="5"/>
  <c r="E15" i="5"/>
  <c r="G15" i="5"/>
  <c r="I15" i="5"/>
  <c r="B16" i="5"/>
  <c r="C16" i="5"/>
  <c r="D16" i="5"/>
  <c r="E16" i="5"/>
  <c r="G16" i="5"/>
  <c r="I16" i="5"/>
  <c r="B17" i="5"/>
  <c r="C17" i="5"/>
  <c r="D17" i="5"/>
  <c r="E17" i="5"/>
  <c r="G17" i="5"/>
  <c r="H17" i="5"/>
  <c r="I17" i="5"/>
  <c r="B18" i="5"/>
  <c r="C18" i="5"/>
  <c r="D18" i="5"/>
  <c r="E18" i="5"/>
  <c r="G18" i="5"/>
  <c r="H18" i="5"/>
  <c r="I18" i="5"/>
  <c r="B19" i="5"/>
  <c r="C19" i="5"/>
  <c r="D19" i="5"/>
  <c r="E19" i="5"/>
  <c r="G19" i="5"/>
  <c r="I19" i="5"/>
  <c r="B20" i="5"/>
  <c r="C20" i="5"/>
  <c r="D20" i="5"/>
  <c r="E20" i="5"/>
  <c r="G20" i="5"/>
  <c r="H20" i="5"/>
  <c r="I20" i="5"/>
  <c r="B21" i="5"/>
  <c r="C21" i="5"/>
  <c r="D21" i="5"/>
  <c r="E21" i="5"/>
  <c r="G21" i="5"/>
  <c r="H21" i="5"/>
  <c r="I21" i="5"/>
  <c r="B22" i="5"/>
  <c r="C22" i="5"/>
  <c r="D22" i="5"/>
  <c r="E22" i="5"/>
  <c r="G22" i="5"/>
  <c r="I22" i="5"/>
  <c r="B23" i="5"/>
  <c r="C23" i="5"/>
  <c r="D23" i="5"/>
  <c r="E23" i="5"/>
  <c r="G23" i="5"/>
  <c r="H23" i="5"/>
  <c r="I23" i="5"/>
  <c r="B24" i="5"/>
  <c r="C24" i="5"/>
  <c r="D24" i="5"/>
  <c r="E24" i="5"/>
  <c r="G24" i="5"/>
  <c r="H24" i="5"/>
  <c r="I24" i="5"/>
  <c r="B25" i="5"/>
  <c r="C25" i="5"/>
  <c r="D25" i="5"/>
  <c r="E25" i="5"/>
  <c r="G25" i="5"/>
  <c r="I25" i="5"/>
  <c r="B26" i="5"/>
  <c r="C26" i="5"/>
  <c r="D26" i="5"/>
  <c r="E26" i="5"/>
  <c r="G26" i="5"/>
  <c r="H26" i="5"/>
  <c r="I26" i="5"/>
  <c r="B27" i="5"/>
  <c r="C27" i="5"/>
  <c r="D27" i="5"/>
  <c r="E27" i="5"/>
  <c r="G27" i="5"/>
  <c r="H27" i="5"/>
  <c r="I27" i="5"/>
  <c r="B28" i="5"/>
  <c r="C28" i="5"/>
  <c r="D28" i="5"/>
  <c r="E28" i="5"/>
  <c r="G28" i="5"/>
  <c r="I28" i="5"/>
  <c r="B29" i="5"/>
  <c r="C29" i="5"/>
  <c r="D29" i="5"/>
  <c r="E29" i="5"/>
  <c r="G29" i="5"/>
  <c r="H29" i="5"/>
  <c r="I29" i="5"/>
  <c r="B30" i="5"/>
  <c r="C30" i="5"/>
  <c r="D30" i="5"/>
  <c r="E30" i="5"/>
  <c r="G30" i="5"/>
  <c r="H30" i="5"/>
  <c r="I30" i="5"/>
  <c r="B31" i="5"/>
  <c r="C31" i="5"/>
  <c r="D31" i="5"/>
  <c r="E31" i="5"/>
  <c r="G31" i="5"/>
  <c r="I31" i="5"/>
  <c r="B32" i="5"/>
  <c r="C32" i="5"/>
  <c r="D32" i="5"/>
  <c r="E32" i="5"/>
  <c r="G32" i="5"/>
  <c r="H32" i="5"/>
  <c r="I32" i="5"/>
  <c r="B33" i="5"/>
  <c r="C33" i="5"/>
  <c r="D33" i="5"/>
  <c r="E33" i="5"/>
  <c r="G33" i="5"/>
  <c r="H33" i="5"/>
  <c r="I33" i="5"/>
  <c r="B34" i="5"/>
  <c r="C34" i="5"/>
  <c r="D34" i="5"/>
  <c r="E34" i="5"/>
  <c r="G34" i="5"/>
  <c r="I34" i="5"/>
  <c r="B35" i="5"/>
  <c r="C35" i="5"/>
  <c r="D35" i="5"/>
  <c r="E35" i="5"/>
  <c r="G35" i="5"/>
  <c r="H35" i="5"/>
  <c r="I35" i="5"/>
  <c r="B36" i="5"/>
  <c r="C36" i="5"/>
  <c r="D36" i="5"/>
  <c r="E36" i="5"/>
  <c r="G36" i="5"/>
  <c r="H36" i="5"/>
  <c r="I36" i="5"/>
  <c r="B37" i="5"/>
  <c r="C37" i="5"/>
  <c r="D37" i="5"/>
  <c r="E37" i="5"/>
  <c r="G37" i="5"/>
  <c r="I37" i="5"/>
  <c r="B38" i="5"/>
  <c r="C38" i="5"/>
  <c r="D38" i="5"/>
  <c r="E38" i="5"/>
  <c r="G38" i="5"/>
  <c r="H38" i="5"/>
  <c r="I38" i="5"/>
  <c r="B39" i="5"/>
  <c r="C39" i="5"/>
  <c r="D39" i="5"/>
  <c r="E39" i="5"/>
  <c r="G39" i="5"/>
  <c r="H39" i="5"/>
  <c r="I39" i="5"/>
  <c r="B40" i="5"/>
  <c r="C40" i="5"/>
  <c r="D40" i="5"/>
  <c r="E40" i="5"/>
  <c r="G40" i="5"/>
  <c r="I40" i="5"/>
  <c r="B41" i="5"/>
  <c r="C41" i="5"/>
  <c r="D41" i="5"/>
  <c r="E41" i="5"/>
  <c r="G41" i="5"/>
  <c r="H41" i="5"/>
  <c r="I41" i="5"/>
  <c r="B42" i="5"/>
  <c r="C42" i="5"/>
  <c r="D42" i="5"/>
  <c r="E42" i="5"/>
  <c r="G42" i="5"/>
  <c r="H42" i="5"/>
  <c r="I42" i="5"/>
  <c r="B43" i="5"/>
  <c r="C43" i="5"/>
  <c r="D43" i="5"/>
  <c r="E43" i="5"/>
  <c r="G43" i="5"/>
  <c r="I43" i="5"/>
  <c r="B44" i="5"/>
  <c r="C44" i="5"/>
  <c r="D44" i="5"/>
  <c r="E44" i="5"/>
  <c r="G44" i="5"/>
  <c r="H44" i="5"/>
  <c r="I44" i="5"/>
  <c r="B45" i="5"/>
  <c r="C45" i="5"/>
  <c r="D45" i="5"/>
  <c r="E45" i="5"/>
  <c r="G45" i="5"/>
  <c r="H45" i="5"/>
  <c r="I45" i="5"/>
  <c r="B46" i="5"/>
  <c r="C46" i="5"/>
  <c r="D46" i="5"/>
  <c r="E46" i="5"/>
  <c r="G46" i="5"/>
  <c r="I46" i="5"/>
  <c r="B47" i="5"/>
  <c r="C47" i="5"/>
  <c r="D47" i="5"/>
  <c r="E47" i="5"/>
  <c r="G47" i="5"/>
  <c r="H47" i="5"/>
  <c r="I47" i="5"/>
  <c r="B48" i="5"/>
  <c r="C48" i="5"/>
  <c r="D48" i="5"/>
  <c r="E48" i="5"/>
  <c r="G48" i="5"/>
  <c r="H48" i="5"/>
  <c r="I48" i="5"/>
  <c r="B49" i="5"/>
  <c r="C49" i="5"/>
  <c r="D49" i="5"/>
  <c r="E49" i="5"/>
  <c r="G49" i="5"/>
  <c r="I49" i="5"/>
  <c r="B50" i="5"/>
  <c r="C50" i="5"/>
  <c r="D50" i="5"/>
  <c r="E50" i="5"/>
  <c r="G50" i="5"/>
  <c r="H50" i="5"/>
  <c r="I50" i="5"/>
  <c r="B51" i="5"/>
  <c r="C51" i="5"/>
  <c r="D51" i="5"/>
  <c r="E51" i="5"/>
  <c r="G51" i="5"/>
  <c r="H51" i="5"/>
  <c r="I51" i="5"/>
  <c r="B52" i="5"/>
  <c r="C52" i="5"/>
  <c r="D52" i="5"/>
  <c r="E52" i="5"/>
  <c r="G52" i="5"/>
  <c r="I52" i="5"/>
  <c r="B53" i="5"/>
  <c r="C53" i="5"/>
  <c r="D53" i="5"/>
  <c r="E53" i="5"/>
  <c r="G53" i="5"/>
  <c r="H53" i="5"/>
  <c r="I53" i="5"/>
  <c r="B54" i="5"/>
  <c r="C54" i="5"/>
  <c r="D54" i="5"/>
  <c r="E54" i="5"/>
  <c r="G54" i="5"/>
  <c r="H54" i="5"/>
  <c r="I54" i="5"/>
  <c r="B55" i="5"/>
  <c r="C55" i="5"/>
  <c r="D55" i="5"/>
  <c r="E55" i="5"/>
  <c r="G55" i="5"/>
  <c r="I55" i="5"/>
  <c r="B56" i="5"/>
  <c r="C56" i="5"/>
  <c r="D56" i="5"/>
  <c r="E56" i="5"/>
  <c r="G56" i="5"/>
  <c r="H56" i="5"/>
  <c r="I56" i="5"/>
  <c r="B57" i="5"/>
  <c r="C57" i="5"/>
  <c r="D57" i="5"/>
  <c r="E57" i="5"/>
  <c r="G57" i="5"/>
  <c r="H57" i="5"/>
  <c r="I57" i="5"/>
  <c r="B58" i="5"/>
  <c r="C58" i="5"/>
  <c r="D58" i="5"/>
  <c r="E58" i="5"/>
  <c r="G58" i="5"/>
  <c r="I58" i="5"/>
  <c r="B59" i="5"/>
  <c r="C59" i="5"/>
  <c r="D59" i="5"/>
  <c r="E59" i="5"/>
  <c r="G59" i="5"/>
  <c r="H59" i="5"/>
  <c r="I59" i="5"/>
  <c r="B60" i="5"/>
  <c r="C60" i="5"/>
  <c r="D60" i="5"/>
  <c r="E60" i="5"/>
  <c r="G60" i="5"/>
  <c r="H60" i="5"/>
  <c r="I60" i="5"/>
  <c r="B61" i="5"/>
  <c r="C61" i="5"/>
  <c r="D61" i="5"/>
  <c r="E61" i="5"/>
  <c r="G61" i="5"/>
  <c r="I61" i="5"/>
  <c r="B62" i="5"/>
  <c r="C62" i="5"/>
  <c r="D62" i="5"/>
  <c r="E62" i="5"/>
  <c r="G62" i="5"/>
  <c r="H62" i="5"/>
  <c r="I62" i="5"/>
  <c r="B63" i="5"/>
  <c r="C63" i="5"/>
  <c r="D63" i="5"/>
  <c r="E63" i="5"/>
  <c r="G63" i="5"/>
  <c r="H63" i="5"/>
  <c r="I63" i="5"/>
  <c r="B64" i="5"/>
  <c r="C64" i="5"/>
  <c r="D64" i="5"/>
  <c r="E64" i="5"/>
  <c r="G64" i="5"/>
  <c r="I64" i="5"/>
  <c r="B65" i="5"/>
  <c r="C65" i="5"/>
  <c r="D65" i="5"/>
  <c r="E65" i="5"/>
  <c r="G65" i="5"/>
  <c r="H65" i="5"/>
  <c r="I65" i="5"/>
  <c r="B66" i="5"/>
  <c r="C66" i="5"/>
  <c r="D66" i="5"/>
  <c r="E66" i="5"/>
  <c r="G66" i="5"/>
  <c r="H66" i="5"/>
  <c r="I66" i="5"/>
  <c r="B67" i="5"/>
  <c r="C67" i="5"/>
  <c r="D67" i="5"/>
  <c r="E67" i="5"/>
  <c r="G67" i="5"/>
  <c r="I67" i="5"/>
  <c r="B68" i="5"/>
  <c r="C68" i="5"/>
  <c r="D68" i="5"/>
  <c r="E68" i="5"/>
  <c r="G68" i="5"/>
  <c r="H68" i="5"/>
  <c r="I68" i="5"/>
  <c r="B69" i="5"/>
  <c r="C69" i="5"/>
  <c r="D69" i="5"/>
  <c r="E69" i="5"/>
  <c r="G69" i="5"/>
  <c r="H69" i="5"/>
  <c r="I69" i="5"/>
  <c r="B70" i="5"/>
  <c r="C70" i="5"/>
  <c r="D70" i="5"/>
  <c r="E70" i="5"/>
  <c r="G70" i="5"/>
  <c r="I70" i="5"/>
  <c r="B71" i="5"/>
  <c r="C71" i="5"/>
  <c r="D71" i="5"/>
  <c r="E71" i="5"/>
  <c r="G71" i="5"/>
  <c r="H71" i="5"/>
  <c r="I71" i="5"/>
  <c r="B72" i="5"/>
  <c r="C72" i="5"/>
  <c r="D72" i="5"/>
  <c r="E72" i="5"/>
  <c r="G72" i="5"/>
  <c r="H72" i="5"/>
  <c r="I72" i="5"/>
  <c r="B73" i="5"/>
  <c r="C73" i="5"/>
  <c r="D73" i="5"/>
  <c r="E73" i="5"/>
  <c r="G73" i="5"/>
  <c r="I73" i="5"/>
  <c r="B74" i="5"/>
  <c r="C74" i="5"/>
  <c r="D74" i="5"/>
  <c r="E74" i="5"/>
  <c r="G74" i="5"/>
  <c r="H74" i="5"/>
  <c r="I74" i="5"/>
  <c r="B75" i="5"/>
  <c r="C75" i="5"/>
  <c r="D75" i="5"/>
  <c r="E75" i="5"/>
  <c r="G75" i="5"/>
  <c r="H75" i="5"/>
  <c r="I75" i="5"/>
  <c r="B76" i="5"/>
  <c r="C76" i="5"/>
  <c r="D76" i="5"/>
  <c r="E76" i="5"/>
  <c r="G76" i="5"/>
  <c r="I76" i="5"/>
  <c r="B77" i="5"/>
  <c r="C77" i="5"/>
  <c r="D77" i="5"/>
  <c r="E77" i="5"/>
  <c r="G77" i="5"/>
  <c r="H77" i="5"/>
  <c r="I77" i="5"/>
  <c r="B78" i="5"/>
  <c r="C78" i="5"/>
  <c r="D78" i="5"/>
  <c r="E78" i="5"/>
  <c r="G78" i="5"/>
  <c r="H78" i="5"/>
  <c r="I78" i="5"/>
  <c r="B79" i="5"/>
  <c r="C79" i="5"/>
  <c r="D79" i="5"/>
  <c r="E79" i="5"/>
  <c r="G79" i="5"/>
  <c r="I79" i="5"/>
  <c r="B80" i="5"/>
  <c r="C80" i="5"/>
  <c r="D80" i="5"/>
  <c r="E80" i="5"/>
  <c r="G80" i="5"/>
  <c r="H80" i="5"/>
  <c r="I80" i="5"/>
  <c r="B81" i="5"/>
  <c r="C81" i="5"/>
  <c r="D81" i="5"/>
  <c r="E81" i="5"/>
  <c r="G81" i="5"/>
  <c r="H81" i="5"/>
  <c r="I81" i="5"/>
  <c r="B82" i="5"/>
  <c r="C82" i="5"/>
  <c r="D82" i="5"/>
  <c r="E82" i="5"/>
  <c r="G82" i="5"/>
  <c r="I82" i="5"/>
  <c r="B83" i="5"/>
  <c r="C83" i="5"/>
  <c r="D83" i="5"/>
  <c r="E83" i="5"/>
  <c r="G83" i="5"/>
  <c r="H83" i="5"/>
  <c r="I83" i="5"/>
  <c r="B84" i="5"/>
  <c r="C84" i="5"/>
  <c r="D84" i="5"/>
  <c r="E84" i="5"/>
  <c r="G84" i="5"/>
  <c r="H84" i="5"/>
  <c r="I84" i="5"/>
  <c r="B85" i="5"/>
  <c r="C85" i="5"/>
  <c r="D85" i="5"/>
  <c r="E85" i="5"/>
  <c r="G85" i="5"/>
  <c r="I85" i="5"/>
  <c r="B86" i="5"/>
  <c r="C86" i="5"/>
  <c r="D86" i="5"/>
  <c r="E86" i="5"/>
  <c r="G86" i="5"/>
  <c r="H86" i="5"/>
  <c r="I86" i="5"/>
  <c r="B87" i="5"/>
  <c r="C87" i="5"/>
  <c r="D87" i="5"/>
  <c r="E87" i="5"/>
  <c r="G87" i="5"/>
  <c r="H87" i="5"/>
  <c r="I87" i="5"/>
  <c r="B88" i="5"/>
  <c r="C88" i="5"/>
  <c r="D88" i="5"/>
  <c r="E88" i="5"/>
  <c r="G88" i="5"/>
  <c r="I88" i="5"/>
  <c r="B89" i="5"/>
  <c r="C89" i="5"/>
  <c r="D89" i="5"/>
  <c r="E89" i="5"/>
  <c r="G89" i="5"/>
  <c r="H89" i="5"/>
  <c r="I89" i="5"/>
  <c r="B90" i="5"/>
  <c r="C90" i="5"/>
  <c r="D90" i="5"/>
  <c r="E90" i="5"/>
  <c r="G90" i="5"/>
  <c r="H90" i="5"/>
  <c r="I90" i="5"/>
  <c r="B91" i="5"/>
  <c r="C91" i="5"/>
  <c r="D91" i="5"/>
  <c r="E91" i="5"/>
  <c r="G91" i="5"/>
  <c r="I91" i="5"/>
  <c r="B92" i="5"/>
  <c r="C92" i="5"/>
  <c r="D92" i="5"/>
  <c r="E92" i="5"/>
  <c r="G92" i="5"/>
  <c r="H92" i="5"/>
  <c r="I92" i="5"/>
  <c r="B93" i="5"/>
  <c r="C93" i="5"/>
  <c r="D93" i="5"/>
  <c r="E93" i="5"/>
  <c r="G93" i="5"/>
  <c r="H93" i="5"/>
  <c r="I93" i="5"/>
  <c r="B94" i="5"/>
  <c r="C94" i="5"/>
  <c r="D94" i="5"/>
  <c r="E94" i="5"/>
  <c r="G94" i="5"/>
  <c r="I94" i="5"/>
  <c r="B95" i="5"/>
  <c r="C95" i="5"/>
  <c r="D95" i="5"/>
  <c r="E95" i="5"/>
  <c r="G95" i="5"/>
  <c r="H95" i="5"/>
  <c r="I95" i="5"/>
  <c r="B96" i="5"/>
  <c r="C96" i="5"/>
  <c r="D96" i="5"/>
  <c r="E96" i="5"/>
  <c r="G96" i="5"/>
  <c r="H96" i="5"/>
  <c r="I96" i="5"/>
  <c r="B97" i="5"/>
  <c r="C97" i="5"/>
  <c r="D97" i="5"/>
  <c r="E97" i="5"/>
  <c r="G97" i="5"/>
  <c r="I97" i="5"/>
  <c r="B98" i="5"/>
  <c r="C98" i="5"/>
  <c r="D98" i="5"/>
  <c r="E98" i="5"/>
  <c r="G98" i="5"/>
  <c r="H98" i="5"/>
  <c r="I98" i="5"/>
  <c r="B99" i="5"/>
  <c r="C99" i="5"/>
  <c r="D99" i="5"/>
  <c r="E99" i="5"/>
  <c r="G99" i="5"/>
  <c r="H99" i="5"/>
  <c r="I99" i="5"/>
  <c r="B100" i="5"/>
  <c r="C100" i="5"/>
  <c r="D100" i="5"/>
  <c r="E100" i="5"/>
  <c r="G100" i="5"/>
  <c r="I100" i="5"/>
  <c r="B101" i="5"/>
  <c r="C101" i="5"/>
  <c r="D101" i="5"/>
  <c r="E101" i="5"/>
  <c r="G101" i="5"/>
  <c r="H101" i="5"/>
  <c r="I101" i="5"/>
  <c r="B102" i="5"/>
  <c r="C102" i="5"/>
  <c r="D102" i="5"/>
  <c r="E102" i="5"/>
  <c r="G102" i="5"/>
  <c r="H102" i="5"/>
  <c r="I102" i="5"/>
  <c r="B103" i="5"/>
  <c r="C103" i="5"/>
  <c r="D103" i="5"/>
  <c r="E103" i="5"/>
  <c r="G103" i="5"/>
  <c r="I103" i="5"/>
  <c r="B104" i="5"/>
  <c r="C104" i="5"/>
  <c r="D104" i="5"/>
  <c r="E104" i="5"/>
  <c r="G104" i="5"/>
  <c r="H104" i="5"/>
  <c r="I104" i="5"/>
  <c r="B105" i="5"/>
  <c r="C105" i="5"/>
  <c r="D105" i="5"/>
  <c r="E105" i="5"/>
  <c r="G105" i="5"/>
  <c r="H105" i="5"/>
  <c r="I105" i="5"/>
  <c r="B106" i="5"/>
  <c r="C106" i="5"/>
  <c r="D106" i="5"/>
  <c r="E106" i="5"/>
  <c r="G106" i="5"/>
  <c r="I106" i="5"/>
  <c r="B107" i="5"/>
  <c r="C107" i="5"/>
  <c r="D107" i="5"/>
  <c r="E107" i="5"/>
  <c r="G107" i="5"/>
  <c r="H107" i="5"/>
  <c r="I107" i="5"/>
  <c r="B108" i="5"/>
  <c r="C108" i="5"/>
  <c r="D108" i="5"/>
  <c r="E108" i="5"/>
  <c r="G108" i="5"/>
  <c r="H108" i="5"/>
  <c r="I108" i="5"/>
  <c r="B109" i="5"/>
  <c r="C109" i="5"/>
  <c r="D109" i="5"/>
  <c r="E109" i="5"/>
  <c r="G109" i="5"/>
  <c r="I109" i="5"/>
  <c r="B110" i="5"/>
  <c r="C110" i="5"/>
  <c r="D110" i="5"/>
  <c r="E110" i="5"/>
  <c r="G110" i="5"/>
  <c r="H110" i="5"/>
  <c r="I110" i="5"/>
  <c r="B111" i="5"/>
  <c r="C111" i="5"/>
  <c r="D111" i="5"/>
  <c r="E111" i="5"/>
  <c r="G111" i="5"/>
  <c r="H111" i="5"/>
  <c r="I111" i="5"/>
  <c r="B112" i="5"/>
  <c r="C112" i="5"/>
  <c r="D112" i="5"/>
  <c r="E112" i="5"/>
  <c r="G112" i="5"/>
  <c r="I112" i="5"/>
  <c r="B113" i="5"/>
  <c r="C113" i="5"/>
  <c r="D113" i="5"/>
  <c r="E113" i="5"/>
  <c r="G113" i="5"/>
  <c r="H113" i="5"/>
  <c r="I113" i="5"/>
  <c r="B114" i="5"/>
  <c r="C114" i="5"/>
  <c r="D114" i="5"/>
  <c r="E114" i="5"/>
  <c r="G114" i="5"/>
  <c r="H114" i="5"/>
  <c r="I114" i="5"/>
  <c r="B115" i="5"/>
  <c r="C115" i="5"/>
  <c r="D115" i="5"/>
  <c r="E115" i="5"/>
  <c r="G115" i="5"/>
  <c r="I115" i="5"/>
  <c r="B116" i="5"/>
  <c r="C116" i="5"/>
  <c r="D116" i="5"/>
  <c r="E116" i="5"/>
  <c r="G116" i="5"/>
  <c r="H116" i="5"/>
  <c r="I116" i="5"/>
  <c r="B117" i="5"/>
  <c r="C117" i="5"/>
  <c r="D117" i="5"/>
  <c r="E117" i="5"/>
  <c r="G117" i="5"/>
  <c r="H117" i="5"/>
  <c r="I117" i="5"/>
  <c r="B118" i="5"/>
  <c r="C118" i="5"/>
  <c r="D118" i="5"/>
  <c r="E118" i="5"/>
  <c r="G118" i="5"/>
  <c r="I118" i="5"/>
  <c r="B119" i="5"/>
  <c r="C119" i="5"/>
  <c r="D119" i="5"/>
  <c r="E119" i="5"/>
  <c r="G119" i="5"/>
  <c r="H119" i="5"/>
  <c r="I119" i="5"/>
  <c r="B120" i="5"/>
  <c r="C120" i="5"/>
  <c r="D120" i="5"/>
  <c r="E120" i="5"/>
  <c r="G120" i="5"/>
  <c r="H120" i="5"/>
  <c r="I120" i="5"/>
  <c r="B121" i="5"/>
  <c r="C121" i="5"/>
  <c r="D121" i="5"/>
  <c r="E121" i="5"/>
  <c r="G121" i="5"/>
  <c r="I121" i="5"/>
  <c r="B122" i="5"/>
  <c r="C122" i="5"/>
  <c r="D122" i="5"/>
  <c r="E122" i="5"/>
  <c r="G122" i="5"/>
  <c r="H122" i="5"/>
  <c r="I122" i="5"/>
  <c r="B123" i="5"/>
  <c r="C123" i="5"/>
  <c r="D123" i="5"/>
  <c r="E123" i="5"/>
  <c r="G123" i="5"/>
  <c r="H123" i="5"/>
  <c r="I123" i="5"/>
  <c r="B124" i="5"/>
  <c r="C124" i="5"/>
  <c r="D124" i="5"/>
  <c r="E124" i="5"/>
  <c r="G124" i="5"/>
  <c r="I124" i="5"/>
  <c r="B125" i="5"/>
  <c r="C125" i="5"/>
  <c r="D125" i="5"/>
  <c r="E125" i="5"/>
  <c r="G125" i="5"/>
  <c r="H125" i="5"/>
  <c r="I125" i="5"/>
  <c r="B126" i="5"/>
  <c r="C126" i="5"/>
  <c r="D126" i="5"/>
  <c r="E126" i="5"/>
  <c r="G126" i="5"/>
  <c r="H126" i="5"/>
  <c r="I126" i="5"/>
  <c r="B127" i="5"/>
  <c r="C127" i="5"/>
  <c r="D127" i="5"/>
  <c r="E127" i="5"/>
  <c r="G127" i="5"/>
  <c r="I127" i="5"/>
  <c r="B128" i="5"/>
  <c r="C128" i="5"/>
  <c r="D128" i="5"/>
  <c r="E128" i="5"/>
  <c r="G128" i="5"/>
  <c r="H128" i="5"/>
  <c r="I128" i="5"/>
  <c r="B129" i="5"/>
  <c r="C129" i="5"/>
  <c r="D129" i="5"/>
  <c r="E129" i="5"/>
  <c r="G129" i="5"/>
  <c r="H129" i="5"/>
  <c r="I129" i="5"/>
  <c r="B130" i="5"/>
  <c r="C130" i="5"/>
  <c r="D130" i="5"/>
  <c r="E130" i="5"/>
  <c r="G130" i="5"/>
  <c r="I130" i="5"/>
  <c r="B131" i="5"/>
  <c r="C131" i="5"/>
  <c r="D131" i="5"/>
  <c r="E131" i="5"/>
  <c r="G131" i="5"/>
  <c r="H131" i="5"/>
  <c r="I131" i="5"/>
  <c r="B132" i="5"/>
  <c r="C132" i="5"/>
  <c r="D132" i="5"/>
  <c r="E132" i="5"/>
  <c r="G132" i="5"/>
  <c r="H132" i="5"/>
  <c r="I132" i="5"/>
  <c r="B133" i="5"/>
  <c r="C133" i="5"/>
  <c r="D133" i="5"/>
  <c r="E133" i="5"/>
  <c r="G133" i="5"/>
  <c r="I133" i="5"/>
  <c r="B134" i="5"/>
  <c r="C134" i="5"/>
  <c r="D134" i="5"/>
  <c r="E134" i="5"/>
  <c r="G134" i="5"/>
  <c r="H134" i="5"/>
  <c r="I134" i="5"/>
  <c r="B135" i="5"/>
  <c r="C135" i="5"/>
  <c r="D135" i="5"/>
  <c r="E135" i="5"/>
  <c r="G135" i="5"/>
  <c r="H135" i="5"/>
  <c r="I135" i="5"/>
  <c r="B136" i="5"/>
  <c r="C136" i="5"/>
  <c r="D136" i="5"/>
  <c r="E136" i="5"/>
  <c r="G136" i="5"/>
  <c r="I136" i="5"/>
  <c r="B137" i="5"/>
  <c r="C137" i="5"/>
  <c r="D137" i="5"/>
  <c r="E137" i="5"/>
  <c r="G137" i="5"/>
  <c r="H137" i="5"/>
  <c r="I137" i="5"/>
  <c r="B138" i="5"/>
  <c r="C138" i="5"/>
  <c r="D138" i="5"/>
  <c r="E138" i="5"/>
  <c r="G138" i="5"/>
  <c r="H138" i="5"/>
  <c r="I138" i="5"/>
  <c r="B139" i="5"/>
  <c r="C139" i="5"/>
  <c r="D139" i="5"/>
  <c r="E139" i="5"/>
  <c r="G139" i="5"/>
  <c r="I139" i="5"/>
  <c r="B140" i="5"/>
  <c r="C140" i="5"/>
  <c r="D140" i="5"/>
  <c r="E140" i="5"/>
  <c r="G140" i="5"/>
  <c r="H140" i="5"/>
  <c r="I140" i="5"/>
  <c r="B141" i="5"/>
  <c r="C141" i="5"/>
  <c r="D141" i="5"/>
  <c r="E141" i="5"/>
  <c r="G141" i="5"/>
  <c r="H141" i="5"/>
  <c r="I141" i="5"/>
  <c r="B142" i="5"/>
  <c r="C142" i="5"/>
  <c r="D142" i="5"/>
  <c r="E142" i="5"/>
  <c r="G142" i="5"/>
  <c r="I142" i="5"/>
  <c r="B143" i="5"/>
  <c r="C143" i="5"/>
  <c r="D143" i="5"/>
  <c r="E143" i="5"/>
  <c r="G143" i="5"/>
  <c r="H143" i="5"/>
  <c r="I143" i="5"/>
  <c r="B144" i="5"/>
  <c r="C144" i="5"/>
  <c r="D144" i="5"/>
  <c r="E144" i="5"/>
  <c r="G144" i="5"/>
  <c r="H144" i="5"/>
  <c r="I144" i="5"/>
  <c r="B145" i="5"/>
  <c r="C145" i="5"/>
  <c r="D145" i="5"/>
  <c r="E145" i="5"/>
  <c r="G145" i="5"/>
  <c r="I145" i="5"/>
  <c r="B146" i="5"/>
  <c r="C146" i="5"/>
  <c r="D146" i="5"/>
  <c r="E146" i="5"/>
  <c r="G146" i="5"/>
  <c r="H146" i="5"/>
  <c r="I146" i="5"/>
  <c r="B147" i="5"/>
  <c r="C147" i="5"/>
  <c r="D147" i="5"/>
  <c r="E147" i="5"/>
  <c r="G147" i="5"/>
  <c r="H147" i="5"/>
  <c r="I147" i="5"/>
  <c r="B148" i="5"/>
  <c r="C148" i="5"/>
  <c r="D148" i="5"/>
  <c r="E148" i="5"/>
  <c r="G148" i="5"/>
  <c r="I148" i="5"/>
  <c r="B149" i="5"/>
  <c r="C149" i="5"/>
  <c r="D149" i="5"/>
  <c r="E149" i="5"/>
  <c r="G149" i="5"/>
  <c r="H149" i="5"/>
  <c r="I149" i="5"/>
  <c r="B150" i="5"/>
  <c r="C150" i="5"/>
  <c r="D150" i="5"/>
  <c r="E150" i="5"/>
  <c r="G150" i="5"/>
  <c r="H150" i="5"/>
  <c r="I150" i="5"/>
  <c r="B151" i="5"/>
  <c r="C151" i="5"/>
  <c r="D151" i="5"/>
  <c r="E151" i="5"/>
  <c r="G151" i="5"/>
  <c r="I151" i="5"/>
  <c r="B152" i="5"/>
  <c r="C152" i="5"/>
  <c r="D152" i="5"/>
  <c r="E152" i="5"/>
  <c r="G152" i="5"/>
  <c r="H152" i="5"/>
  <c r="I152" i="5"/>
  <c r="B153" i="5"/>
  <c r="C153" i="5"/>
  <c r="D153" i="5"/>
  <c r="E153" i="5"/>
  <c r="G153" i="5"/>
  <c r="H153" i="5"/>
  <c r="I153" i="5"/>
  <c r="B154" i="5"/>
  <c r="C154" i="5"/>
  <c r="D154" i="5"/>
  <c r="E154" i="5"/>
  <c r="G154" i="5"/>
  <c r="I154" i="5"/>
  <c r="B155" i="5"/>
  <c r="C155" i="5"/>
  <c r="D155" i="5"/>
  <c r="E155" i="5"/>
  <c r="G155" i="5"/>
  <c r="H155" i="5"/>
  <c r="I155" i="5"/>
  <c r="B156" i="5"/>
  <c r="C156" i="5"/>
  <c r="D156" i="5"/>
  <c r="E156" i="5"/>
  <c r="G156" i="5"/>
  <c r="H156" i="5"/>
  <c r="I156" i="5"/>
  <c r="B157" i="5"/>
  <c r="C157" i="5"/>
  <c r="D157" i="5"/>
  <c r="E157" i="5"/>
  <c r="G157" i="5"/>
  <c r="I157" i="5"/>
  <c r="B158" i="5"/>
  <c r="C158" i="5"/>
  <c r="D158" i="5"/>
  <c r="E158" i="5"/>
  <c r="G158" i="5"/>
  <c r="H158" i="5"/>
  <c r="I158" i="5"/>
  <c r="B159" i="5"/>
  <c r="C159" i="5"/>
  <c r="D159" i="5"/>
  <c r="E159" i="5"/>
  <c r="G159" i="5"/>
  <c r="H159" i="5"/>
  <c r="I159" i="5"/>
  <c r="B160" i="5"/>
  <c r="C160" i="5"/>
  <c r="D160" i="5"/>
  <c r="E160" i="5"/>
  <c r="G160" i="5"/>
  <c r="I160" i="5"/>
  <c r="B161" i="5"/>
  <c r="C161" i="5"/>
  <c r="D161" i="5"/>
  <c r="E161" i="5"/>
  <c r="G161" i="5"/>
  <c r="H161" i="5"/>
  <c r="I161" i="5"/>
  <c r="B162" i="5"/>
  <c r="C162" i="5"/>
  <c r="D162" i="5"/>
  <c r="E162" i="5"/>
  <c r="G162" i="5"/>
  <c r="H162" i="5"/>
  <c r="I162" i="5"/>
  <c r="B163" i="5"/>
  <c r="C163" i="5"/>
  <c r="D163" i="5"/>
  <c r="E163" i="5"/>
  <c r="G163" i="5"/>
  <c r="I163" i="5"/>
  <c r="B164" i="5"/>
  <c r="C164" i="5"/>
  <c r="D164" i="5"/>
  <c r="E164" i="5"/>
  <c r="G164" i="5"/>
  <c r="H164" i="5"/>
  <c r="I164" i="5"/>
  <c r="B165" i="5"/>
  <c r="C165" i="5"/>
  <c r="D165" i="5"/>
  <c r="E165" i="5"/>
  <c r="G165" i="5"/>
  <c r="H165" i="5"/>
  <c r="I165" i="5"/>
  <c r="B166" i="5"/>
  <c r="C166" i="5"/>
  <c r="D166" i="5"/>
  <c r="E166" i="5"/>
  <c r="G166" i="5"/>
  <c r="I166" i="5"/>
  <c r="B167" i="5"/>
  <c r="C167" i="5"/>
  <c r="D167" i="5"/>
  <c r="E167" i="5"/>
  <c r="G167" i="5"/>
  <c r="H167" i="5"/>
  <c r="I167" i="5"/>
  <c r="B168" i="5"/>
  <c r="C168" i="5"/>
  <c r="D168" i="5"/>
  <c r="E168" i="5"/>
  <c r="G168" i="5"/>
  <c r="H168" i="5"/>
  <c r="I168" i="5"/>
  <c r="B169" i="5"/>
  <c r="C169" i="5"/>
  <c r="D169" i="5"/>
  <c r="E169" i="5"/>
  <c r="G169" i="5"/>
  <c r="I169" i="5"/>
  <c r="B170" i="5"/>
  <c r="C170" i="5"/>
  <c r="D170" i="5"/>
  <c r="E170" i="5"/>
  <c r="G170" i="5"/>
  <c r="H170" i="5"/>
  <c r="I170" i="5"/>
  <c r="B171" i="5"/>
  <c r="C171" i="5"/>
  <c r="D171" i="5"/>
  <c r="E171" i="5"/>
  <c r="G171" i="5"/>
  <c r="H171" i="5"/>
  <c r="I171" i="5"/>
  <c r="B172" i="5"/>
  <c r="C172" i="5"/>
  <c r="D172" i="5"/>
  <c r="E172" i="5"/>
  <c r="G172" i="5"/>
  <c r="I172" i="5"/>
  <c r="B173" i="5"/>
  <c r="C173" i="5"/>
  <c r="D173" i="5"/>
  <c r="E173" i="5"/>
  <c r="G173" i="5"/>
  <c r="H173" i="5"/>
  <c r="I173" i="5"/>
  <c r="B174" i="5"/>
  <c r="C174" i="5"/>
  <c r="D174" i="5"/>
  <c r="E174" i="5"/>
  <c r="G174" i="5"/>
  <c r="H174" i="5"/>
  <c r="I174" i="5"/>
  <c r="B175" i="5"/>
  <c r="C175" i="5"/>
  <c r="D175" i="5"/>
  <c r="E175" i="5"/>
  <c r="G175" i="5"/>
  <c r="I175" i="5"/>
  <c r="B176" i="5"/>
  <c r="C176" i="5"/>
  <c r="D176" i="5"/>
  <c r="E176" i="5"/>
  <c r="G176" i="5"/>
  <c r="H176" i="5"/>
  <c r="I176" i="5"/>
  <c r="B177" i="5"/>
  <c r="C177" i="5"/>
  <c r="D177" i="5"/>
  <c r="E177" i="5"/>
  <c r="G177" i="5"/>
  <c r="H177" i="5"/>
  <c r="I177" i="5"/>
  <c r="B178" i="5"/>
  <c r="C178" i="5"/>
  <c r="D178" i="5"/>
  <c r="E178" i="5"/>
  <c r="G178" i="5"/>
  <c r="I178" i="5"/>
  <c r="B179" i="5"/>
  <c r="C179" i="5"/>
  <c r="D179" i="5"/>
  <c r="E179" i="5"/>
  <c r="G179" i="5"/>
  <c r="H179" i="5"/>
  <c r="I179" i="5"/>
  <c r="B180" i="5"/>
  <c r="C180" i="5"/>
  <c r="D180" i="5"/>
  <c r="E180" i="5"/>
  <c r="G180" i="5"/>
  <c r="H180" i="5"/>
  <c r="I180" i="5"/>
  <c r="B181" i="5"/>
  <c r="C181" i="5"/>
  <c r="D181" i="5"/>
  <c r="E181" i="5"/>
  <c r="G181" i="5"/>
  <c r="I181" i="5"/>
  <c r="B182" i="5"/>
  <c r="C182" i="5"/>
  <c r="D182" i="5"/>
  <c r="E182" i="5"/>
  <c r="G182" i="5"/>
  <c r="H182" i="5"/>
  <c r="I182" i="5"/>
  <c r="B183" i="5"/>
  <c r="C183" i="5"/>
  <c r="D183" i="5"/>
  <c r="E183" i="5"/>
  <c r="G183" i="5"/>
  <c r="H183" i="5"/>
  <c r="I183" i="5"/>
  <c r="B184" i="5"/>
  <c r="C184" i="5"/>
  <c r="D184" i="5"/>
  <c r="E184" i="5"/>
  <c r="G184" i="5"/>
  <c r="I184" i="5"/>
  <c r="B185" i="5"/>
  <c r="C185" i="5"/>
  <c r="D185" i="5"/>
  <c r="E185" i="5"/>
  <c r="G185" i="5"/>
  <c r="H185" i="5"/>
  <c r="I185" i="5"/>
  <c r="B186" i="5"/>
  <c r="C186" i="5"/>
  <c r="D186" i="5"/>
  <c r="E186" i="5"/>
  <c r="G186" i="5"/>
  <c r="H186" i="5"/>
  <c r="I186" i="5"/>
  <c r="B187" i="5"/>
  <c r="C187" i="5"/>
  <c r="D187" i="5"/>
  <c r="E187" i="5"/>
  <c r="G187" i="5"/>
  <c r="I187" i="5"/>
  <c r="B188" i="5"/>
  <c r="C188" i="5"/>
  <c r="D188" i="5"/>
  <c r="E188" i="5"/>
  <c r="G188" i="5"/>
  <c r="H188" i="5"/>
  <c r="I188" i="5"/>
  <c r="B189" i="5"/>
  <c r="C189" i="5"/>
  <c r="D189" i="5"/>
  <c r="E189" i="5"/>
  <c r="G189" i="5"/>
  <c r="H189" i="5"/>
  <c r="I189" i="5"/>
  <c r="B190" i="5"/>
  <c r="C190" i="5"/>
  <c r="D190" i="5"/>
  <c r="E190" i="5"/>
  <c r="G190" i="5"/>
  <c r="I190" i="5"/>
  <c r="B191" i="5"/>
  <c r="C191" i="5"/>
  <c r="D191" i="5"/>
  <c r="E191" i="5"/>
  <c r="G191" i="5"/>
  <c r="H191" i="5"/>
  <c r="I191" i="5"/>
  <c r="B192" i="5"/>
  <c r="C192" i="5"/>
  <c r="D192" i="5"/>
  <c r="E192" i="5"/>
  <c r="G192" i="5"/>
  <c r="H192" i="5"/>
  <c r="I192" i="5"/>
  <c r="B193" i="5"/>
  <c r="C193" i="5"/>
  <c r="D193" i="5"/>
  <c r="E193" i="5"/>
  <c r="G193" i="5"/>
  <c r="I193" i="5"/>
  <c r="B194" i="5"/>
  <c r="C194" i="5"/>
  <c r="D194" i="5"/>
  <c r="E194" i="5"/>
  <c r="G194" i="5"/>
  <c r="H194" i="5"/>
  <c r="I194" i="5"/>
  <c r="B195" i="5"/>
  <c r="C195" i="5"/>
  <c r="D195" i="5"/>
  <c r="E195" i="5"/>
  <c r="G195" i="5"/>
  <c r="H195" i="5"/>
  <c r="I195" i="5"/>
  <c r="B196" i="5"/>
  <c r="C196" i="5"/>
  <c r="D196" i="5"/>
  <c r="E196" i="5"/>
  <c r="G196" i="5"/>
  <c r="I196" i="5"/>
  <c r="B197" i="5"/>
  <c r="C197" i="5"/>
  <c r="D197" i="5"/>
  <c r="E197" i="5"/>
  <c r="G197" i="5"/>
  <c r="H197" i="5"/>
  <c r="I197" i="5"/>
  <c r="B198" i="5"/>
  <c r="C198" i="5"/>
  <c r="D198" i="5"/>
  <c r="E198" i="5"/>
  <c r="G198" i="5"/>
  <c r="H198" i="5"/>
  <c r="I198" i="5"/>
  <c r="B199" i="5"/>
  <c r="C199" i="5"/>
  <c r="D199" i="5"/>
  <c r="E199" i="5"/>
  <c r="G199" i="5"/>
  <c r="I199" i="5"/>
  <c r="B200" i="5"/>
  <c r="C200" i="5"/>
  <c r="D200" i="5"/>
  <c r="E200" i="5"/>
  <c r="G200" i="5"/>
  <c r="H200" i="5"/>
  <c r="I200" i="5"/>
  <c r="B201" i="5"/>
  <c r="C201" i="5"/>
  <c r="D201" i="5"/>
  <c r="E201" i="5"/>
  <c r="G201" i="5"/>
  <c r="H201" i="5"/>
  <c r="I201" i="5"/>
  <c r="B202" i="5"/>
  <c r="C202" i="5"/>
  <c r="D202" i="5"/>
  <c r="E202" i="5"/>
  <c r="G202" i="5"/>
  <c r="I202" i="5"/>
  <c r="B203" i="5"/>
  <c r="C203" i="5"/>
  <c r="D203" i="5"/>
  <c r="E203" i="5"/>
  <c r="G203" i="5"/>
  <c r="H203" i="5"/>
  <c r="I203" i="5"/>
  <c r="B204" i="5"/>
  <c r="C204" i="5"/>
  <c r="D204" i="5"/>
  <c r="E204" i="5"/>
  <c r="G204" i="5"/>
  <c r="H204" i="5"/>
  <c r="I204" i="5"/>
  <c r="B205" i="5"/>
  <c r="C205" i="5"/>
  <c r="D205" i="5"/>
  <c r="E205" i="5"/>
  <c r="G205" i="5"/>
  <c r="I205" i="5"/>
  <c r="B206" i="5"/>
  <c r="C206" i="5"/>
  <c r="D206" i="5"/>
  <c r="E206" i="5"/>
  <c r="G206" i="5"/>
  <c r="H206" i="5"/>
  <c r="I206" i="5"/>
  <c r="B207" i="5"/>
  <c r="C207" i="5"/>
  <c r="D207" i="5"/>
  <c r="E207" i="5"/>
  <c r="G207" i="5"/>
  <c r="H207" i="5"/>
  <c r="I207" i="5"/>
  <c r="B208" i="5"/>
  <c r="C208" i="5"/>
  <c r="D208" i="5"/>
  <c r="E208" i="5"/>
  <c r="G208" i="5"/>
  <c r="I208" i="5"/>
  <c r="B209" i="5"/>
  <c r="C209" i="5"/>
  <c r="D209" i="5"/>
  <c r="E209" i="5"/>
  <c r="G209" i="5"/>
  <c r="H209" i="5"/>
  <c r="I209" i="5"/>
  <c r="B210" i="5"/>
  <c r="C210" i="5"/>
  <c r="D210" i="5"/>
  <c r="E210" i="5"/>
  <c r="G210" i="5"/>
  <c r="H210" i="5"/>
  <c r="I210" i="5"/>
  <c r="B211" i="5"/>
  <c r="C211" i="5"/>
  <c r="D211" i="5"/>
  <c r="E211" i="5"/>
  <c r="G211" i="5"/>
  <c r="I211" i="5"/>
  <c r="B212" i="5"/>
  <c r="C212" i="5"/>
  <c r="D212" i="5"/>
  <c r="E212" i="5"/>
  <c r="G212" i="5"/>
  <c r="H212" i="5"/>
  <c r="I212" i="5"/>
  <c r="B213" i="5"/>
  <c r="C213" i="5"/>
  <c r="D213" i="5"/>
  <c r="E213" i="5"/>
  <c r="G213" i="5"/>
  <c r="H213" i="5"/>
  <c r="I213" i="5"/>
  <c r="B214" i="5"/>
  <c r="C214" i="5"/>
  <c r="D214" i="5"/>
  <c r="E214" i="5"/>
  <c r="G214" i="5"/>
  <c r="I214" i="5"/>
  <c r="B215" i="5"/>
  <c r="C215" i="5"/>
  <c r="D215" i="5"/>
  <c r="E215" i="5"/>
  <c r="G215" i="5"/>
  <c r="H215" i="5"/>
  <c r="I215" i="5"/>
  <c r="B216" i="5"/>
  <c r="C216" i="5"/>
  <c r="D216" i="5"/>
  <c r="E216" i="5"/>
  <c r="G216" i="5"/>
  <c r="H216" i="5"/>
  <c r="I216" i="5"/>
  <c r="B217" i="5"/>
  <c r="C217" i="5"/>
  <c r="D217" i="5"/>
  <c r="E217" i="5"/>
  <c r="G217" i="5"/>
  <c r="I217" i="5"/>
  <c r="B218" i="5"/>
  <c r="C218" i="5"/>
  <c r="D218" i="5"/>
  <c r="E218" i="5"/>
  <c r="G218" i="5"/>
  <c r="H218" i="5"/>
  <c r="I218" i="5"/>
  <c r="B219" i="5"/>
  <c r="C219" i="5"/>
  <c r="D219" i="5"/>
  <c r="E219" i="5"/>
  <c r="G219" i="5"/>
  <c r="H219" i="5"/>
  <c r="I219" i="5"/>
  <c r="B220" i="5"/>
  <c r="C220" i="5"/>
  <c r="D220" i="5"/>
  <c r="E220" i="5"/>
  <c r="G220" i="5"/>
  <c r="I220" i="5"/>
  <c r="B221" i="5"/>
  <c r="C221" i="5"/>
  <c r="D221" i="5"/>
  <c r="E221" i="5"/>
  <c r="G221" i="5"/>
  <c r="H221" i="5"/>
  <c r="I221" i="5"/>
  <c r="B222" i="5"/>
  <c r="C222" i="5"/>
  <c r="D222" i="5"/>
  <c r="E222" i="5"/>
  <c r="G222" i="5"/>
  <c r="H222" i="5"/>
  <c r="I222" i="5"/>
  <c r="B223" i="5"/>
  <c r="C223" i="5"/>
  <c r="D223" i="5"/>
  <c r="E223" i="5"/>
  <c r="G223" i="5"/>
  <c r="I223" i="5"/>
  <c r="B224" i="5"/>
  <c r="C224" i="5"/>
  <c r="D224" i="5"/>
  <c r="E224" i="5"/>
  <c r="G224" i="5"/>
  <c r="H224" i="5"/>
  <c r="I224" i="5"/>
  <c r="B225" i="5"/>
  <c r="C225" i="5"/>
  <c r="D225" i="5"/>
  <c r="E225" i="5"/>
  <c r="G225" i="5"/>
  <c r="H225" i="5"/>
  <c r="I225" i="5"/>
  <c r="B226" i="5"/>
  <c r="C226" i="5"/>
  <c r="D226" i="5"/>
  <c r="E226" i="5"/>
  <c r="G226" i="5"/>
  <c r="I226" i="5"/>
  <c r="B227" i="5"/>
  <c r="C227" i="5"/>
  <c r="D227" i="5"/>
  <c r="E227" i="5"/>
  <c r="G227" i="5"/>
  <c r="H227" i="5"/>
  <c r="I227" i="5"/>
  <c r="B228" i="5"/>
  <c r="C228" i="5"/>
  <c r="D228" i="5"/>
  <c r="E228" i="5"/>
  <c r="G228" i="5"/>
  <c r="H228" i="5"/>
  <c r="I228" i="5"/>
  <c r="B229" i="5"/>
  <c r="C229" i="5"/>
  <c r="D229" i="5"/>
  <c r="E229" i="5"/>
  <c r="G229" i="5"/>
  <c r="I229" i="5"/>
  <c r="B230" i="5"/>
  <c r="C230" i="5"/>
  <c r="D230" i="5"/>
  <c r="E230" i="5"/>
  <c r="G230" i="5"/>
  <c r="H230" i="5"/>
  <c r="I230" i="5"/>
  <c r="B231" i="5"/>
  <c r="C231" i="5"/>
  <c r="D231" i="5"/>
  <c r="E231" i="5"/>
  <c r="G231" i="5"/>
  <c r="H231" i="5"/>
  <c r="I231" i="5"/>
  <c r="B232" i="5"/>
  <c r="C232" i="5"/>
  <c r="D232" i="5"/>
  <c r="E232" i="5"/>
  <c r="G232" i="5"/>
  <c r="I232" i="5"/>
  <c r="B233" i="5"/>
  <c r="C233" i="5"/>
  <c r="D233" i="5"/>
  <c r="E233" i="5"/>
  <c r="G233" i="5"/>
  <c r="H233" i="5"/>
  <c r="I233" i="5"/>
  <c r="B234" i="5"/>
  <c r="C234" i="5"/>
  <c r="D234" i="5"/>
  <c r="E234" i="5"/>
  <c r="G234" i="5"/>
  <c r="H234" i="5"/>
  <c r="I234" i="5"/>
  <c r="B235" i="5"/>
  <c r="C235" i="5"/>
  <c r="D235" i="5"/>
  <c r="E235" i="5"/>
  <c r="G235" i="5"/>
  <c r="I235" i="5"/>
  <c r="B236" i="5"/>
  <c r="C236" i="5"/>
  <c r="D236" i="5"/>
  <c r="E236" i="5"/>
  <c r="G236" i="5"/>
  <c r="H236" i="5"/>
  <c r="I236" i="5"/>
  <c r="B237" i="5"/>
  <c r="C237" i="5"/>
  <c r="D237" i="5"/>
  <c r="E237" i="5"/>
  <c r="G237" i="5"/>
  <c r="H237" i="5"/>
  <c r="I237" i="5"/>
  <c r="B238" i="5"/>
  <c r="C238" i="5"/>
  <c r="D238" i="5"/>
  <c r="E238" i="5"/>
  <c r="G238" i="5"/>
  <c r="I238" i="5"/>
  <c r="B239" i="5"/>
  <c r="C239" i="5"/>
  <c r="D239" i="5"/>
  <c r="E239" i="5"/>
  <c r="G239" i="5"/>
  <c r="H239" i="5"/>
  <c r="I239" i="5"/>
  <c r="B240" i="5"/>
  <c r="C240" i="5"/>
  <c r="D240" i="5"/>
  <c r="E240" i="5"/>
  <c r="G240" i="5"/>
  <c r="H240" i="5"/>
  <c r="I240" i="5"/>
  <c r="B241" i="5"/>
  <c r="C241" i="5"/>
  <c r="D241" i="5"/>
  <c r="E241" i="5"/>
  <c r="G241" i="5"/>
  <c r="I241" i="5"/>
  <c r="B242" i="5"/>
  <c r="C242" i="5"/>
  <c r="D242" i="5"/>
  <c r="E242" i="5"/>
  <c r="G242" i="5"/>
  <c r="H242" i="5"/>
  <c r="I242" i="5"/>
  <c r="B243" i="5"/>
  <c r="C243" i="5"/>
  <c r="D243" i="5"/>
  <c r="E243" i="5"/>
  <c r="G243" i="5"/>
  <c r="H243" i="5"/>
  <c r="I243" i="5"/>
  <c r="B244" i="5"/>
  <c r="C244" i="5"/>
  <c r="D244" i="5"/>
  <c r="E244" i="5"/>
  <c r="G244" i="5"/>
  <c r="I244" i="5"/>
  <c r="B245" i="5"/>
  <c r="C245" i="5"/>
  <c r="D245" i="5"/>
  <c r="E245" i="5"/>
  <c r="G245" i="5"/>
  <c r="H245" i="5"/>
  <c r="I245" i="5"/>
  <c r="B246" i="5"/>
  <c r="C246" i="5"/>
  <c r="D246" i="5"/>
  <c r="E246" i="5"/>
  <c r="G246" i="5"/>
  <c r="H246" i="5"/>
  <c r="I246" i="5"/>
  <c r="B247" i="5"/>
  <c r="C247" i="5"/>
  <c r="D247" i="5"/>
  <c r="E247" i="5"/>
  <c r="G247" i="5"/>
  <c r="I247" i="5"/>
  <c r="B248" i="5"/>
  <c r="C248" i="5"/>
  <c r="D248" i="5"/>
  <c r="E248" i="5"/>
  <c r="G248" i="5"/>
  <c r="H248" i="5"/>
  <c r="I248" i="5"/>
  <c r="B249" i="5"/>
  <c r="C249" i="5"/>
  <c r="D249" i="5"/>
  <c r="E249" i="5"/>
  <c r="G249" i="5"/>
  <c r="H249" i="5"/>
  <c r="I249" i="5"/>
  <c r="B250" i="5"/>
  <c r="C250" i="5"/>
  <c r="D250" i="5"/>
  <c r="E250" i="5"/>
  <c r="G250" i="5"/>
  <c r="I250" i="5"/>
  <c r="B251" i="5"/>
  <c r="C251" i="5"/>
  <c r="D251" i="5"/>
  <c r="E251" i="5"/>
  <c r="G251" i="5"/>
  <c r="H251" i="5"/>
  <c r="I251" i="5"/>
  <c r="H6" i="5" l="1"/>
  <c r="H16" i="5" l="1"/>
  <c r="H7" i="5"/>
  <c r="U10" i="1"/>
  <c r="H19" i="5" l="1"/>
  <c r="H8" i="5"/>
  <c r="H22" i="5" l="1"/>
  <c r="H9" i="5"/>
  <c r="H25" i="5" l="1"/>
  <c r="H10" i="5"/>
  <c r="U255" i="1"/>
  <c r="U9" i="1"/>
  <c r="H28" i="5" l="1"/>
  <c r="H11" i="5"/>
  <c r="O20" i="1"/>
  <c r="H31" i="5" l="1"/>
  <c r="H12" i="5"/>
  <c r="O17" i="1"/>
  <c r="O9" i="1"/>
  <c r="O10" i="1"/>
  <c r="O12" i="1"/>
  <c r="O18" i="1"/>
  <c r="O21" i="1"/>
  <c r="O6" i="1"/>
  <c r="U6" i="1"/>
  <c r="H34" i="5" l="1"/>
  <c r="H13" i="5"/>
  <c r="H37" i="5" l="1"/>
  <c r="H14" i="5"/>
  <c r="F2" i="5"/>
  <c r="H40" i="5" l="1"/>
  <c r="H15" i="5"/>
  <c r="H43" i="5" l="1"/>
  <c r="G2" i="5"/>
  <c r="H46" i="5" l="1"/>
  <c r="C2" i="5"/>
  <c r="D2" i="5"/>
  <c r="E2" i="5"/>
  <c r="I2" i="5"/>
  <c r="J2" i="5"/>
  <c r="K2" i="5"/>
  <c r="B2" i="5"/>
  <c r="H49" i="5" l="1"/>
  <c r="H2" i="5"/>
  <c r="H52" i="5" l="1"/>
  <c r="H55" i="5" l="1"/>
  <c r="H58" i="5" l="1"/>
  <c r="H61" i="5" l="1"/>
  <c r="H64" i="5" l="1"/>
  <c r="H67" i="5" l="1"/>
  <c r="H70" i="5" l="1"/>
  <c r="H73" i="5" l="1"/>
  <c r="H76" i="5" l="1"/>
  <c r="H79" i="5" l="1"/>
  <c r="H82" i="5" l="1"/>
  <c r="H85" i="5" l="1"/>
  <c r="H88" i="5" l="1"/>
  <c r="H91" i="5" l="1"/>
  <c r="H94" i="5" l="1"/>
  <c r="H97" i="5" l="1"/>
  <c r="H100" i="5" l="1"/>
  <c r="H103" i="5" l="1"/>
  <c r="H106" i="5" l="1"/>
  <c r="H109" i="5" l="1"/>
  <c r="H112" i="5" l="1"/>
  <c r="H115" i="5" l="1"/>
  <c r="H118" i="5" l="1"/>
  <c r="H121" i="5" l="1"/>
  <c r="H124" i="5" l="1"/>
  <c r="H127" i="5" l="1"/>
  <c r="H130" i="5" l="1"/>
  <c r="H133" i="5" l="1"/>
  <c r="H136" i="5" l="1"/>
  <c r="H139" i="5" l="1"/>
  <c r="H142" i="5" l="1"/>
  <c r="H145" i="5" l="1"/>
  <c r="H148" i="5" l="1"/>
  <c r="H151" i="5" l="1"/>
  <c r="H154" i="5" l="1"/>
  <c r="H157" i="5" l="1"/>
  <c r="H160" i="5" l="1"/>
  <c r="H163" i="5" l="1"/>
  <c r="H166" i="5" l="1"/>
  <c r="H169" i="5" l="1"/>
  <c r="H172" i="5" l="1"/>
  <c r="H175" i="5" l="1"/>
  <c r="H178" i="5" l="1"/>
  <c r="H181" i="5" l="1"/>
  <c r="H184" i="5" l="1"/>
  <c r="H187" i="5" l="1"/>
  <c r="H190" i="5" l="1"/>
  <c r="H193" i="5" l="1"/>
  <c r="H196" i="5" l="1"/>
  <c r="H199" i="5" l="1"/>
  <c r="H202" i="5" l="1"/>
  <c r="H205" i="5" l="1"/>
  <c r="H208" i="5" l="1"/>
  <c r="H211" i="5" l="1"/>
  <c r="H214" i="5" l="1"/>
  <c r="H217" i="5" l="1"/>
  <c r="H220" i="5" l="1"/>
  <c r="H223" i="5" l="1"/>
  <c r="H226" i="5" l="1"/>
  <c r="H229" i="5" l="1"/>
  <c r="H232" i="5" l="1"/>
  <c r="H235" i="5" l="1"/>
  <c r="H238" i="5" l="1"/>
  <c r="H241" i="5" l="1"/>
  <c r="H244" i="5" l="1"/>
  <c r="H250" i="5" l="1"/>
  <c r="H24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SUI</author>
    <author>Talento Humano</author>
  </authors>
  <commentList>
    <comment ref="P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SUI:</t>
        </r>
        <r>
          <rPr>
            <sz val="9"/>
            <color indexed="81"/>
            <rFont val="Tahoma"/>
            <family val="2"/>
          </rPr>
          <t xml:space="preserve">
LA HORA INGRESADA DEBE SER EN FORMATO HORA MILITAR.
EJEMPLOS: </t>
        </r>
        <r>
          <rPr>
            <b/>
            <sz val="9"/>
            <color indexed="81"/>
            <rFont val="Tahoma"/>
            <family val="2"/>
          </rPr>
          <t>6:00 Y 17:00</t>
        </r>
      </text>
    </comment>
    <comment ref="S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SUI:</t>
        </r>
        <r>
          <rPr>
            <sz val="9"/>
            <color indexed="81"/>
            <rFont val="Tahoma"/>
            <family val="2"/>
          </rPr>
          <t xml:space="preserve">
LA HORA INGRESADA DEBE SER EN FORMATO HORA MILITAR.
EJEMPLOS: </t>
        </r>
        <r>
          <rPr>
            <b/>
            <sz val="9"/>
            <color indexed="81"/>
            <rFont val="Tahoma"/>
            <family val="2"/>
          </rPr>
          <t>6:00 Y 17:00</t>
        </r>
      </text>
    </comment>
    <comment ref="V5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Talento Humano: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Recargo Nocturno</t>
        </r>
      </text>
    </comment>
    <comment ref="W5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Talento Humano: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Recargo Festivo Diurno</t>
        </r>
      </text>
    </comment>
    <comment ref="X5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Talento Humano: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Recargo Festivo Nocturno</t>
        </r>
      </text>
    </comment>
    <comment ref="Y5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Talento Humano: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Hora Extra Diurna</t>
        </r>
      </text>
    </comment>
    <comment ref="Z5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Talento Humano:
Hora Extra Nocturna</t>
        </r>
      </text>
    </comment>
    <comment ref="AA5" authorId="1" shapeId="0" xr:uid="{00000000-0006-0000-0000-000008000000}">
      <text>
        <r>
          <rPr>
            <b/>
            <sz val="9"/>
            <color indexed="81"/>
            <rFont val="Tahoma"/>
            <family val="2"/>
          </rPr>
          <t>Talento Humano: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Hora Extra Festiva Diurna
</t>
        </r>
      </text>
    </comment>
    <comment ref="AB5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>Talento Humano: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Hora Extra Festiva Nocturna</t>
        </r>
      </text>
    </comment>
  </commentList>
</comments>
</file>

<file path=xl/sharedStrings.xml><?xml version="1.0" encoding="utf-8"?>
<sst xmlns="http://schemas.openxmlformats.org/spreadsheetml/2006/main" count="4487" uniqueCount="1018">
  <si>
    <t>COMPAÑÍA</t>
  </si>
  <si>
    <t>CONCEPTO</t>
  </si>
  <si>
    <t>AÑO</t>
  </si>
  <si>
    <t>PERIODO</t>
  </si>
  <si>
    <t>010</t>
  </si>
  <si>
    <t>DIA LABORADO</t>
  </si>
  <si>
    <t>TIPO MVTO</t>
  </si>
  <si>
    <t>NORMA</t>
  </si>
  <si>
    <t>HORA FINAL</t>
  </si>
  <si>
    <t>012</t>
  </si>
  <si>
    <t>FECHA:</t>
  </si>
  <si>
    <t>N°</t>
  </si>
  <si>
    <t>CEDULA</t>
  </si>
  <si>
    <t>NOMBRE</t>
  </si>
  <si>
    <t>CARGO</t>
  </si>
  <si>
    <t>015</t>
  </si>
  <si>
    <t>009</t>
  </si>
  <si>
    <t>MUNICIPIO</t>
  </si>
  <si>
    <t>NUMERO DE HORAS ORDINARIA</t>
  </si>
  <si>
    <t>TIPO DE HORA</t>
  </si>
  <si>
    <t>HORA INICIO</t>
  </si>
  <si>
    <t>INFORMACION DE HORAS EXTRAS</t>
  </si>
  <si>
    <t>ARBOLETES</t>
  </si>
  <si>
    <t>016</t>
  </si>
  <si>
    <t>011</t>
  </si>
  <si>
    <t xml:space="preserve">RN </t>
  </si>
  <si>
    <t>RFD</t>
  </si>
  <si>
    <t>RFN</t>
  </si>
  <si>
    <t>HED</t>
  </si>
  <si>
    <t>HEN</t>
  </si>
  <si>
    <t>HEFD</t>
  </si>
  <si>
    <t>HEFN</t>
  </si>
  <si>
    <t xml:space="preserve">Receso </t>
  </si>
  <si>
    <t>JORNADA 2</t>
  </si>
  <si>
    <t>1 = 20 MIN  2 = 30 MIN</t>
  </si>
  <si>
    <t>TOTAL HORAS LABORADAS</t>
  </si>
  <si>
    <t>NOVEDADES</t>
  </si>
  <si>
    <t>Version: 003</t>
  </si>
  <si>
    <t>Vigencia: 18/07/2023</t>
  </si>
  <si>
    <t>HORA ENTRADA</t>
  </si>
  <si>
    <t>HORA SALIDA</t>
  </si>
  <si>
    <t>HORA SALIDA ALMUERZO</t>
  </si>
  <si>
    <t>HORA ENTRADA ALMUERZO</t>
  </si>
  <si>
    <t>ZONA</t>
  </si>
  <si>
    <t>MARIMON CORREA CRISTIAN</t>
  </si>
  <si>
    <t>OPERARIO RECOLECCION Y B.V</t>
  </si>
  <si>
    <t>APARTADO</t>
  </si>
  <si>
    <t>URABA</t>
  </si>
  <si>
    <t>JULIO OJEDA WILVER</t>
  </si>
  <si>
    <t>ARTEAGA USUGA LUIS FERNANDO</t>
  </si>
  <si>
    <t>TURBO</t>
  </si>
  <si>
    <t>DUQUE MANCO HEIDER JAVIER</t>
  </si>
  <si>
    <t>CONDUCTOR</t>
  </si>
  <si>
    <t>RUEDA ZAPATA YUBER ORLEY</t>
  </si>
  <si>
    <t>FERIA ESPINOSA JOHAN SEBASTIAN</t>
  </si>
  <si>
    <t>OFICIOS VARIOS</t>
  </si>
  <si>
    <t>BARRERA ALVAREZ YOSNEIDER</t>
  </si>
  <si>
    <t>OPERARIO DISPOSICION FINAL</t>
  </si>
  <si>
    <t>RELLENO TEJAR</t>
  </si>
  <si>
    <t>USUGA PINEDA DAVID ALEXANDER</t>
  </si>
  <si>
    <t>APRENDIZ LECTIVO</t>
  </si>
  <si>
    <t>ADMINISTRATIVA APARTADO</t>
  </si>
  <si>
    <t>MUﾑOZ PEREZ ANA MARIA</t>
  </si>
  <si>
    <t>GESTOR CARTERA</t>
  </si>
  <si>
    <t>DIAZ RUIZ JOHANA VANESSA</t>
  </si>
  <si>
    <t>GONZALEZ DE LA ROSA JOSE ANTONIO</t>
  </si>
  <si>
    <t>CAUCASIA</t>
  </si>
  <si>
    <t>BAJO CAUCA</t>
  </si>
  <si>
    <t>ESPITIA REYES ANETT MICHELL</t>
  </si>
  <si>
    <t>CUESTA RAMOS LEYDER ANDRES</t>
  </si>
  <si>
    <t>PEREZ GARCIA LUIS GUILLERMO</t>
  </si>
  <si>
    <t>CACERES</t>
  </si>
  <si>
    <t>MARTINEZ MIRANDA SEBASTIAN</t>
  </si>
  <si>
    <t>URIETA ARROYO ROBERTO CARLOS</t>
  </si>
  <si>
    <t>NECHI</t>
  </si>
  <si>
    <t>REQUENA FURNIELES LEONARDO FABIO</t>
  </si>
  <si>
    <t>GUERRERO LOPEZ LUIS EDUARDO</t>
  </si>
  <si>
    <t>NECOCLI</t>
  </si>
  <si>
    <t>MERCADO SANTANA FERNANDO</t>
  </si>
  <si>
    <t>NARVAEZ VERGARA CRISTIAN ANDRES</t>
  </si>
  <si>
    <t>MACHADO ESCUDERO JHON EDUARD</t>
  </si>
  <si>
    <t>GONZALEZ GONZALEZ JUAN CAMILO</t>
  </si>
  <si>
    <t>LEMOS MORENO HEIDY</t>
  </si>
  <si>
    <t>APRENDIZ RESPONSABILIDAD SOCIAL</t>
  </si>
  <si>
    <t>MONTES CARCAMO BRAYAN</t>
  </si>
  <si>
    <t>ZARAGOZA</t>
  </si>
  <si>
    <t>BOLIVAR LARA ANDREA CAROLINA</t>
  </si>
  <si>
    <t>AUXILIAR DE ARCHIVO</t>
  </si>
  <si>
    <t>ADMINISTRATIVA MONTERIA</t>
  </si>
  <si>
    <t>MONTERIA</t>
  </si>
  <si>
    <t>SIMANCA MESTRA LUIS EDUARDO</t>
  </si>
  <si>
    <t xml:space="preserve">AUXILIAR CONTABLE </t>
  </si>
  <si>
    <t>CORPUS ZABALETA JAIDER ARMANDO</t>
  </si>
  <si>
    <t>RUIZ PARRA YAMIR</t>
  </si>
  <si>
    <t>MORA ARGAEZ JHON EDICSON</t>
  </si>
  <si>
    <t>OCHOA SANTOS SAMIR</t>
  </si>
  <si>
    <t>VILLALBA MONTIEL EMIS MANUEL</t>
  </si>
  <si>
    <t>TARAZA</t>
  </si>
  <si>
    <t>YEPEZ BENITEZ ANDRES FELIPE</t>
  </si>
  <si>
    <t>PADILLA CARDENAS VANESSA LUCIA</t>
  </si>
  <si>
    <t>ASISTENTE GESTION SOCIAL Y EDUCACION AMBIENTAL</t>
  </si>
  <si>
    <t>ADMINISTRATIVA CAUCASIA</t>
  </si>
  <si>
    <t>MONTIEL BABILONIA MARIANA</t>
  </si>
  <si>
    <t>OVIEDO PEﾑA LUIS FERNANDO</t>
  </si>
  <si>
    <t>ARIAS DUQUE LUIS MATEO</t>
  </si>
  <si>
    <t>GONZALEZ RODRIGUEZ JUAN PABLO</t>
  </si>
  <si>
    <t>APRENDIZ COMERCIAL</t>
  </si>
  <si>
    <t>MURILLO TORRES MATEO</t>
  </si>
  <si>
    <t>ALIAN MEZA ADRIAN DAVID</t>
  </si>
  <si>
    <t>AREIZA SIMANCA ALEXANDER</t>
  </si>
  <si>
    <t>CASTILLO HERAZO JUAN ESTEBAN</t>
  </si>
  <si>
    <t>PINO RENTERIA CLEINER YESID</t>
  </si>
  <si>
    <t>PAYARES GOMEZ LUIS FERNANDO</t>
  </si>
  <si>
    <t>FRANCO TRONCOSO JUAN SEBASTIAN</t>
  </si>
  <si>
    <t>MORA FUENTES DANILO</t>
  </si>
  <si>
    <t>MENDOZA MARTINEZ MANUEL ESTEBAN</t>
  </si>
  <si>
    <t>CORTES HIGUITA ARNOLD STICK</t>
  </si>
  <si>
    <t>ROMERO GONZALEZ GISELA</t>
  </si>
  <si>
    <t>OSPINO ESCUDERO JUAN CARLOS</t>
  </si>
  <si>
    <t>GOMEZ TEHERAN ANGEL LUIS</t>
  </si>
  <si>
    <t>CHAVERRA PALACIOS DEILER ANDRES</t>
  </si>
  <si>
    <t>ZULUAGA MORENO DANIEL JOSE</t>
  </si>
  <si>
    <t>HOYOS MENA GINA MICHELL</t>
  </si>
  <si>
    <t>ORTEGA CORREA JORDAN YESID</t>
  </si>
  <si>
    <t>GOMEZ MOLINA IVAN ANDRES</t>
  </si>
  <si>
    <t>MARTINEZ MOSQUERA SIXTA TULIA</t>
  </si>
  <si>
    <t>OPERARIO BARRIDO VIAL</t>
  </si>
  <si>
    <t>PEREZ HERNANDEZ GLORIA AMPARO</t>
  </si>
  <si>
    <t>MORENO CORDOBA DAIRON ENRIQUE</t>
  </si>
  <si>
    <t>SALAZAR LONDOﾑO WILBER ALBERTO</t>
  </si>
  <si>
    <t>GARCES CASTILLO KEVIN STIVEN</t>
  </si>
  <si>
    <t>BAJIRA</t>
  </si>
  <si>
    <t>GONZALEZ SANCHEZ CRISTIAN CAMILO</t>
  </si>
  <si>
    <t>LIDER COMERCIAL</t>
  </si>
  <si>
    <t>GAMBOA VALENICA ELKIN</t>
  </si>
  <si>
    <t>MEJIA MORALES DAIRON</t>
  </si>
  <si>
    <t>POSADA LONDOﾑO GERSON ABIEZER</t>
  </si>
  <si>
    <t>CORDOBA MENDOZA JONATHAN ANDRES</t>
  </si>
  <si>
    <t>SUPERVISOR</t>
  </si>
  <si>
    <t>CHALA PEREA EDWIN</t>
  </si>
  <si>
    <t>SIERRA VARGAS FRANCISCO JAVIER</t>
  </si>
  <si>
    <t>HURTADO CORDOBA JESUS DIDIER</t>
  </si>
  <si>
    <t>BERNAL ORTEGA CRISTIAN CAMILO</t>
  </si>
  <si>
    <t>GUTIERREZ CALLE CRISTIAN</t>
  </si>
  <si>
    <t>RESTAN MONTIEL HERNAN HENRIQUEZ</t>
  </si>
  <si>
    <t>DURANGO VARELA SERGIO DARIO</t>
  </si>
  <si>
    <t>RIVAS PLAZA SILAS ANTONIO</t>
  </si>
  <si>
    <t>CHICA FLOREZ FABIAN</t>
  </si>
  <si>
    <t>ASISTENTE COMERCIAL</t>
  </si>
  <si>
    <t xml:space="preserve">ADMINISTRATIVA TURBO </t>
  </si>
  <si>
    <t>ARTEAGA CASTILLO ARLEY ANTONIO</t>
  </si>
  <si>
    <t>HEREDIA BURGO FREDY ANTONIO</t>
  </si>
  <si>
    <t>LAMBRAﾑO BELTRAN IVAN DARIO</t>
  </si>
  <si>
    <t>TERAN QUINTERO LUIS  MIGUEL</t>
  </si>
  <si>
    <t>MONTIEL CUESTA CARLOS ALFREDO</t>
  </si>
  <si>
    <t>CORDOBA MOSQUERA KATERINE ANDREA</t>
  </si>
  <si>
    <t>ASISTENTE RESPONSABILIDAD SOCIA</t>
  </si>
  <si>
    <t>QUIﾑONES SARMIENTO LUIS ANGEL</t>
  </si>
  <si>
    <t>MENESES DURANGO CARLOS ANDRES</t>
  </si>
  <si>
    <t>BERRIO HENAO CRISTIAN CAMILO</t>
  </si>
  <si>
    <t>CHACON VELASCO YEISON ALBERTO</t>
  </si>
  <si>
    <t>AUXILIAR COMECIAL</t>
  </si>
  <si>
    <t>SOﾑETH GUERRA OMAR ANDRES</t>
  </si>
  <si>
    <t xml:space="preserve">OPERARIO DE RECOLECCION </t>
  </si>
  <si>
    <t>JULIO OJEDA UBEIMAR</t>
  </si>
  <si>
    <t>CAﾑAVERAL RUIZ JESUS ANTONIO</t>
  </si>
  <si>
    <t>VARELA PINO WILDER ALONSO</t>
  </si>
  <si>
    <t>SUPERVISOR RECOLECCION</t>
  </si>
  <si>
    <t>CAﾑAVERAL RUIZ YEISON ANTONIO</t>
  </si>
  <si>
    <t>AVADIA RENTERIA JANER YESID</t>
  </si>
  <si>
    <t>ZAPATA BARRERA JUAN DAVID</t>
  </si>
  <si>
    <t>MADERA VALDERRAMA ANDRES SEBASTIAN</t>
  </si>
  <si>
    <t>DAVID USUGA CRISTIAN CAMILO</t>
  </si>
  <si>
    <t>MARTINEZ ESQUIVEL JHON SEBASTIAN</t>
  </si>
  <si>
    <t>LIDUEﾑA BUELVAS LUIS ALBERTO</t>
  </si>
  <si>
    <t>GUTIERREZ JULIO LIBARDO</t>
  </si>
  <si>
    <t>JIMENEZ ARRIETA OMAR HERNANDO</t>
  </si>
  <si>
    <t xml:space="preserve">SUPERVISOR </t>
  </si>
  <si>
    <t>ARRIETA REQUEME YONAIDER MANUEL</t>
  </si>
  <si>
    <t>MARTINEZ HERAZO LICETH KATTERINE</t>
  </si>
  <si>
    <t>DELGADO ROMERO ALEX ENRIQUE</t>
  </si>
  <si>
    <t>ZUﾑIGA DEL TORO INGRYS ESTHER</t>
  </si>
  <si>
    <t>PATIÑO RAUL DAVID</t>
  </si>
  <si>
    <t>COORDINADOR OPERACIONES URABA</t>
  </si>
  <si>
    <t>SANCHEZ SANCHEZ FRAY ANDRES</t>
  </si>
  <si>
    <t>ANDUJAR VARGAS DANNA ISABELLA</t>
  </si>
  <si>
    <t>LIDER DE GESTION SOCIAL Y EDUCACION AMBIENTAL</t>
  </si>
  <si>
    <t>BARON AGRESOT LEONARDO FABIO</t>
  </si>
  <si>
    <t>GOEZ USUGA ELMER DE JESUS</t>
  </si>
  <si>
    <t xml:space="preserve">MUTATA </t>
  </si>
  <si>
    <t>VEGA VANEGAS JUAN ALBEIRO</t>
  </si>
  <si>
    <t>MADRID CORTES YURI SIRLEY</t>
  </si>
  <si>
    <t>GOMEZ SILGADO LUIS MIGUEL</t>
  </si>
  <si>
    <t>SAN JUAN</t>
  </si>
  <si>
    <t>ZAPATA CAICEDO RAUL DANIEL</t>
  </si>
  <si>
    <t>COORDINADOR OPERACIONES BAJO CAUCA</t>
  </si>
  <si>
    <t>MESA FUENTES GERSON ANTONIO</t>
  </si>
  <si>
    <t xml:space="preserve">SAN JUAN </t>
  </si>
  <si>
    <t>TORDECILLA FLOREZ FABIAN ANDRES</t>
  </si>
  <si>
    <t>HERRERA SALAZAR HERMES</t>
  </si>
  <si>
    <t>ZUﾑIGA TORDECILLA JHON JAIRO</t>
  </si>
  <si>
    <t>GRACIA TORRES ESNEIDER</t>
  </si>
  <si>
    <t>RIVAS GUEVARA YANNY</t>
  </si>
  <si>
    <t>PEREZ HERNANDEZ FRANCISCO ALONSO</t>
  </si>
  <si>
    <t xml:space="preserve">CONDUCTOR </t>
  </si>
  <si>
    <t>MARIN ZAPATA JESUS ANTONIO</t>
  </si>
  <si>
    <t>POVEDA VILLEGAS IVAN ESTEBAN</t>
  </si>
  <si>
    <t>SUPERVISOR MUNICIPIO CAT 3</t>
  </si>
  <si>
    <t>VALERIO SANCHEZ ANDRES DAVID</t>
  </si>
  <si>
    <t>RESTREPO CARO ANGEL ANIBAL</t>
  </si>
  <si>
    <t>LARGO TIRADO YEISON FERNANDO</t>
  </si>
  <si>
    <t>OVIEDO CUADRADO JHON ORLANDO</t>
  </si>
  <si>
    <t>ACOSTA ARIAS JOHAN FERNEY</t>
  </si>
  <si>
    <t>VELEZ MENESES GABRIEL EDUARDO</t>
  </si>
  <si>
    <t>MOLINA OYOLA DEIMER ENRIQUE</t>
  </si>
  <si>
    <t>PERALTA MARTINEZ JORGE IVAN</t>
  </si>
  <si>
    <t>GALLEGO RIVAS JESUS DAVID</t>
  </si>
  <si>
    <t>MENA GALVAN YESSENIA LIZETH</t>
  </si>
  <si>
    <t>MEZA TOSCANO HENRRY</t>
  </si>
  <si>
    <t>MONTOYA SAENZ JONATHAN ANDRES</t>
  </si>
  <si>
    <t>OTERO BALDOVINO LUIS MIGUEL</t>
  </si>
  <si>
    <t>LUCAS HERNANDEZ LUIS ARTURO</t>
  </si>
  <si>
    <t>TRUJILLO SIERRA JULIO CESAR</t>
  </si>
  <si>
    <t>LOPEZ VELASQUEZ DONALDO ENRIQUE</t>
  </si>
  <si>
    <t>RIVERA RAMIREZ DANIEL</t>
  </si>
  <si>
    <t>CASTILLO CORREA WILMER</t>
  </si>
  <si>
    <t>ARENAS JUANEZ CARLOS ALFREDO</t>
  </si>
  <si>
    <t>AVILA GIL JUAN FERNANDO</t>
  </si>
  <si>
    <t>ROMERO HERNANDEZ CAMILO ANDRES</t>
  </si>
  <si>
    <t>GARZON BELL CARLOS HEBANIZ</t>
  </si>
  <si>
    <t>HOYOS SIERRA BRYAM</t>
  </si>
  <si>
    <t>SOTELO MORALES JOSE ARMANDO</t>
  </si>
  <si>
    <t>SIMANCA ZEA CARLOS DANIEL</t>
  </si>
  <si>
    <t>PASTRANA QUINTANA JULIO ARMANDO</t>
  </si>
  <si>
    <t>AGUIRRE MARSIGLIA JULIO DANIEL</t>
  </si>
  <si>
    <t>SOTOMAYOR SIERRA WILLIAM EDUARDO</t>
  </si>
  <si>
    <t>PEﾑA REGINO ALEJANDRO</t>
  </si>
  <si>
    <t>TREJO USMA MELISA PAOLA</t>
  </si>
  <si>
    <t xml:space="preserve">APRENIZ RESPONSABILIDAD SOCIAL </t>
  </si>
  <si>
    <t>OSORIO MADERA LUIS ENRIQUE</t>
  </si>
  <si>
    <t>CARDENAS PEREIRA FREDY ANDRES</t>
  </si>
  <si>
    <t>POLO MOLINA CARLOS MANUEL</t>
  </si>
  <si>
    <t>ARTEAGA DE LA ROSA JUAN GUILLERMO</t>
  </si>
  <si>
    <t>MENA JULIO YOBER EDUARDO</t>
  </si>
  <si>
    <t>BLANQUICET SANDON GREGORIO</t>
  </si>
  <si>
    <t>JARAMILLO MENDOZA JANER ANTONIO</t>
  </si>
  <si>
    <t>CUESTA ROMAﾑAS JEISON</t>
  </si>
  <si>
    <t>QUINTERO FLOREZ ANGELICA MARIA</t>
  </si>
  <si>
    <t>MORENO HINESTROZA MILTON</t>
  </si>
  <si>
    <t>PALENCIA TORO FERLEY ANDRES</t>
  </si>
  <si>
    <t>GIL SOTO JHONATHAN</t>
  </si>
  <si>
    <t>SAN PEDRO</t>
  </si>
  <si>
    <t>JIMENEZ RIVAS MIGUEL OSNEIDER</t>
  </si>
  <si>
    <t>URANGO GOMEZ JULIETH PAOLA</t>
  </si>
  <si>
    <t>SUPERVISOR MUNICIPIO CAT 2</t>
  </si>
  <si>
    <t>MUTATA</t>
  </si>
  <si>
    <t>TEHRAN ACUﾑA YORDIS MANUEL</t>
  </si>
  <si>
    <t>CORREA PADILLA HADER LUIS</t>
  </si>
  <si>
    <t>MONTERROSA CABALLERO HERNIS</t>
  </si>
  <si>
    <t>GALINDO SALAZAR ELKIN</t>
  </si>
  <si>
    <t>GAVIRIA SANCHEZ LUIS EDUARDO</t>
  </si>
  <si>
    <t>PALOMEQUE MARTINEZ ANIBAL</t>
  </si>
  <si>
    <t>MURILLO MURILLO YULMA ARLENA</t>
  </si>
  <si>
    <t>PAREJA ALVAREZ YASMANY DE JESUS</t>
  </si>
  <si>
    <t>USUGA HERRERA JORGE DUVAN</t>
  </si>
  <si>
    <t>VILLADIEGO OZUNA DAVIRIS OLIER</t>
  </si>
  <si>
    <t>TERAN SIERRA ALEXANDER IVAN</t>
  </si>
  <si>
    <t>HERNANDEZ ZABALA YONIER ANDRES</t>
  </si>
  <si>
    <t>MESA JARAMILLO LUIS ANDRES</t>
  </si>
  <si>
    <t>MARTINEZ VALENCIA ANDRES FELIPE</t>
  </si>
  <si>
    <t>SANTOS ROVIRA JEREMIN</t>
  </si>
  <si>
    <t>CHALJUB ALMANZA DANIELA</t>
  </si>
  <si>
    <t>SOSA ALVAREZ LUIS EMILIO</t>
  </si>
  <si>
    <t>CASTRO   DURANGO JOHANY ALBERTO</t>
  </si>
  <si>
    <t>OPERARIO DE MAQUINARIA</t>
  </si>
  <si>
    <t>AVILA TAPIAS WILMER DE JESUS</t>
  </si>
  <si>
    <t>LOPEZ ANGULO CENEN</t>
  </si>
  <si>
    <t>CORDOBA SERNA KEILER</t>
  </si>
  <si>
    <t>MANJARRES PEREZ ELVIS ANTONIO</t>
  </si>
  <si>
    <t>VILLALOBO AYALA WILSON</t>
  </si>
  <si>
    <t>JULIO RODRIGUEZ MANUEL ESTEBAN</t>
  </si>
  <si>
    <t>MORALES PALENCIA JAIR</t>
  </si>
  <si>
    <t>SANCHEZ RODRIGUEZ MIGUEL RAMON</t>
  </si>
  <si>
    <t>LAGAREJO PALACIO JUAN DAVID</t>
  </si>
  <si>
    <t>ARROYO GOMEZ STEVIN JOSE</t>
  </si>
  <si>
    <t>ORTIZ BOLAﾑO TILSON</t>
  </si>
  <si>
    <t>GONZALEZ URANGO OBEIMAR</t>
  </si>
  <si>
    <t>ESCOBAR GUISAO JESUS ALBERTO</t>
  </si>
  <si>
    <t>JULIO RODRIGUEZ EDI ALBERTO</t>
  </si>
  <si>
    <t>MARTINEZ GOMEZ SIXTO HERNAN</t>
  </si>
  <si>
    <t>GONZALEZ DEL TORO EMERSON</t>
  </si>
  <si>
    <t>GARZON CARABALLO JORGE ELIECER</t>
  </si>
  <si>
    <t>SUPERVISOR BARRIDO</t>
  </si>
  <si>
    <t>BARRERA ROMERO FAIRLEY</t>
  </si>
  <si>
    <t>IBARGUEN RENTERIA JANIER</t>
  </si>
  <si>
    <t>DEL TORO PEﾑA JHON FREDY</t>
  </si>
  <si>
    <t>HERRERA RICARDO EDER ALBERTO</t>
  </si>
  <si>
    <t>FRANCO BEITAR LUIS FERNANDO</t>
  </si>
  <si>
    <t>CALDERON GALVIS GERALDINE</t>
  </si>
  <si>
    <t>HERNANDEZ GARCIA DUVAN ANDRES</t>
  </si>
  <si>
    <t>CABRERA RODRIGUEZ DUVIER DARIO</t>
  </si>
  <si>
    <t>CABRERA RODRIGUEZ DUVIER DANIEL</t>
  </si>
  <si>
    <t>SIERRA RIVAS NATALIA ANDREA</t>
  </si>
  <si>
    <t>PALACIOS MENDOZA OSIRIS</t>
  </si>
  <si>
    <t>VELASQUEZ BANQUET JORDAN DAVID</t>
  </si>
  <si>
    <t>BALOCO GALLEGO GISSELSOFIA</t>
  </si>
  <si>
    <t xml:space="preserve">APRENDIZ ARCHIVO </t>
  </si>
  <si>
    <t>NEGRETE ZARATE JESUS JAVIER</t>
  </si>
  <si>
    <t>ASISTENTE PQR</t>
  </si>
  <si>
    <t>AYALA PEREIRA NOHEMI MARIA</t>
  </si>
  <si>
    <t>URANGO MONTALVO WILLINTON HERNEY</t>
  </si>
  <si>
    <t>LOPEZ LORA RICHARD ARMANDO</t>
  </si>
  <si>
    <t>SISTEMA Y MONITOREO</t>
  </si>
  <si>
    <t>MEZA DIAZ JAIRO STEVAN</t>
  </si>
  <si>
    <t>LOPEZ HENAO LUIS DAVID</t>
  </si>
  <si>
    <t>TENORIO ABENDAﾑO LUIS FERNEY</t>
  </si>
  <si>
    <t>BARRIOS ANICHIARICO ROBERTO</t>
  </si>
  <si>
    <t>UPARELA FUENTES DOMITILA MARIA</t>
  </si>
  <si>
    <t>ASISTENTE SST</t>
  </si>
  <si>
    <t>MENDOZA  RUIZ FERNANDO LUIS</t>
  </si>
  <si>
    <t>LOPEZ LOPEZ ANA MERCEDES</t>
  </si>
  <si>
    <t>COMUNICADORA SOCIAL</t>
  </si>
  <si>
    <t>MORE FLOREZ LEIDY</t>
  </si>
  <si>
    <t>AUXILIAR DE NOMINA</t>
  </si>
  <si>
    <t>POSADA PEREZ FABIAN ANDRES</t>
  </si>
  <si>
    <t>GERENTE GENERAL</t>
  </si>
  <si>
    <t>MACHADO SUAREZ ANGIE LORENA</t>
  </si>
  <si>
    <t xml:space="preserve">LIDER DE TALENTO HUMANO </t>
  </si>
  <si>
    <t>ESTRADA RIVERO JOSE IGNACIO</t>
  </si>
  <si>
    <t>LIDER SST</t>
  </si>
  <si>
    <t>GALVAN CARDONA KELLY JOHANNA</t>
  </si>
  <si>
    <t>AVILA MORALES LUIS ENRIQUE</t>
  </si>
  <si>
    <t>HERNANDEZ DORIA JUAN GUSTAVO</t>
  </si>
  <si>
    <t>DAU HERNANDEZ GUSTAVO ADOLFO</t>
  </si>
  <si>
    <t>COORDINADOR OPERATIVO</t>
  </si>
  <si>
    <t>MENDOZA PERTUZ FABIAN ALBERTO</t>
  </si>
  <si>
    <t>AUXILIAR BASCULA</t>
  </si>
  <si>
    <t xml:space="preserve">ADMINISTRATIVA RELLENO </t>
  </si>
  <si>
    <t>MONTALVO SALCEDO CARLOS ANDRES</t>
  </si>
  <si>
    <t>TECNICO DE SISTEMAS</t>
  </si>
  <si>
    <t>RODRIGUEZ GUEVARA CARLOS ANTONIO</t>
  </si>
  <si>
    <t>NERIO ARGEL ENRIQUE JUAN</t>
  </si>
  <si>
    <t>GARCES MOSQUERA JEISON</t>
  </si>
  <si>
    <t>LEMUS ROMAﾑA RUBEN ALBERTO</t>
  </si>
  <si>
    <t>POSADA ROMAﾑA WILLIAM ANDRES</t>
  </si>
  <si>
    <t>ORTA ARTEAGA JUAN DAVID</t>
  </si>
  <si>
    <t>LIDER OPERATIVO</t>
  </si>
  <si>
    <t>BELTRAN HERAZO ALVARO AUGUSTO</t>
  </si>
  <si>
    <t>AUXILIAR CONTABLE Y NOMINA</t>
  </si>
  <si>
    <t>BLANDON QUIﾑONES KAREN JOHANA</t>
  </si>
  <si>
    <t>INGENIERA AMBIENTAL</t>
  </si>
  <si>
    <t>PLATA MONTES LUIS CARLOS</t>
  </si>
  <si>
    <t>DORIA MEDINA JORGE LUIS</t>
  </si>
  <si>
    <t>MENDOZA SANGUINO YAMID ARLEY</t>
  </si>
  <si>
    <t>URANGO MARQUEZ MARIO LUIS</t>
  </si>
  <si>
    <t>ROMERO RUIZ JOSE ARMANDO</t>
  </si>
  <si>
    <t>GUZMAN BALDOVINO JOSE ALBERTO</t>
  </si>
  <si>
    <t>PADILLA PEREZ EZEQUIEL JOSE</t>
  </si>
  <si>
    <t>CHAVERRA CADAVID JORGE LUIS</t>
  </si>
  <si>
    <t>PATRON MONTES ALVARO JAVIER</t>
  </si>
  <si>
    <t>LAZARO SUAREZ RAFAEL ENRIQUE</t>
  </si>
  <si>
    <t>SALAZAR NOVAS LUIS ARTURO</t>
  </si>
  <si>
    <t>ROSARIO SANCHEZ ANDERSON</t>
  </si>
  <si>
    <t>ACOSTA HERNANDEZ LINA MARCELA</t>
  </si>
  <si>
    <t>GONZALEZ CARO ANDERSON MAURICIO</t>
  </si>
  <si>
    <t>LIDER AMBIENTAL</t>
  </si>
  <si>
    <t>ROCHA PEREZ SANDER</t>
  </si>
  <si>
    <t>COORDINADOR DE CARTERA</t>
  </si>
  <si>
    <t>MADERA RAMOS LUIS FERNANDO</t>
  </si>
  <si>
    <t>SANCLEMENTE VICTORIA LUIS ALBERTO</t>
  </si>
  <si>
    <t>AGUDELO ZAPATA MARIA CAMILA</t>
  </si>
  <si>
    <t>AUXILIAR COMERCIAL</t>
  </si>
  <si>
    <t>ADMINISTRATIVA NECOCLI</t>
  </si>
  <si>
    <t>MOSQUERA CUESTA JOHN JAIRO</t>
  </si>
  <si>
    <t>RENTERIA PALACIOS ARIEL ENOR</t>
  </si>
  <si>
    <t>RIVERA OLIVAR JULIO EMIRO</t>
  </si>
  <si>
    <t>PALACIO JARAMILLO SEBASTIAN</t>
  </si>
  <si>
    <t>LOPEZ VILLALBA LUIS ANDRES</t>
  </si>
  <si>
    <t xml:space="preserve">APRENDIZ SST </t>
  </si>
  <si>
    <t>MANCO ORTIZ DANIELA</t>
  </si>
  <si>
    <t>APRENDIZ TALENTO HUMANO</t>
  </si>
  <si>
    <t>SANCHEZ MUﾑOZ LEMIS JEREMIS</t>
  </si>
  <si>
    <t>DIAZ MOLINA JUAN PABLO</t>
  </si>
  <si>
    <t>DISEÑADOR GRAFICO</t>
  </si>
  <si>
    <t>VERGARA CARRASCAL JESUS DAVID</t>
  </si>
  <si>
    <t>VERONA PAYARES ARGEMIRO ENRIQUE</t>
  </si>
  <si>
    <t>PALOMEQUE VALENCIA HERNAN</t>
  </si>
  <si>
    <t>DELGADO HERNANDEZ MIGUEL ANGEL</t>
  </si>
  <si>
    <t>MORA DIEGO ANDERSON</t>
  </si>
  <si>
    <t>RODRIGUEZ CABEZA JEAN LUIS</t>
  </si>
  <si>
    <t>MADRID VALLEJO RAUL HERNAN</t>
  </si>
  <si>
    <t>CARDONA RAMOS JULIO CESAR</t>
  </si>
  <si>
    <t>MONTES LOPEZ EDUARDO ENRIQUE</t>
  </si>
  <si>
    <t>LOPEZ CALLE DONALDO ENRIQUE</t>
  </si>
  <si>
    <t>CASTRO  VERGARA LUIS ENRIQUE</t>
  </si>
  <si>
    <t>CABALLERO RAMOS JACKSON JAVIER</t>
  </si>
  <si>
    <t>JARABA  RODRIGUEZ MARIA LUCIA</t>
  </si>
  <si>
    <t>CORONADO BERNAL ROSIRIS DEL CARMEN</t>
  </si>
  <si>
    <t>AGUALIMPIA RIVAS LUZ SANDRA</t>
  </si>
  <si>
    <t>RIOS JARAMILLO ROSA NOELIA</t>
  </si>
  <si>
    <t>CHAVARRIA CHAVARRIA DORALI DE JESUS</t>
  </si>
  <si>
    <t>GARCES DIAZ FABIOLA</t>
  </si>
  <si>
    <t>MIRANDA GUTIERREZ BERTILDA AURORA</t>
  </si>
  <si>
    <t>HINCAPIE JUAN ARLEY</t>
  </si>
  <si>
    <t>SOTO CARDENAS JHOVANY ALFONZO</t>
  </si>
  <si>
    <t>SEVILLA SEﾑA YENITH DEL SOCORRO</t>
  </si>
  <si>
    <t>PEREZ ARROYAVE RAFAEL ANGEL</t>
  </si>
  <si>
    <t>HOYOS PEﾑATA ORLENIS DE JESUS</t>
  </si>
  <si>
    <t>BONILLA MOSQUERA HANNY RUBY</t>
  </si>
  <si>
    <t>SALAZAR MORENO AURELIANO</t>
  </si>
  <si>
    <t>GOMEZ LOPEZ MIGUEL ANGEL</t>
  </si>
  <si>
    <t>RAMOS CARDENAS OMAIRA DEL CARMEN</t>
  </si>
  <si>
    <t>MERCADO ALVAREZ ELVIA ISABEL</t>
  </si>
  <si>
    <t>CASTILLO OROZCO NORA</t>
  </si>
  <si>
    <t>GONZALEZ LONDOﾑO OLGA PATRICIA</t>
  </si>
  <si>
    <t>GAMBOA VACA SILVIA MARIA</t>
  </si>
  <si>
    <t>VARGAS LOPEZ NEVYS</t>
  </si>
  <si>
    <t>CUESTA  PALACIO  DEYSI AMPARO</t>
  </si>
  <si>
    <t>PULGARIN CASTRO LUZ MABEL</t>
  </si>
  <si>
    <t>GOEZ SUAREZ GLADYS ELISA</t>
  </si>
  <si>
    <t>ZAPATA MONA ANA TERESA</t>
  </si>
  <si>
    <t>SALAS  MORALES MARLENE</t>
  </si>
  <si>
    <t>CUESTA  BLANDON ERNES PAZ</t>
  </si>
  <si>
    <t>MENA MOSQUERA MILDREY</t>
  </si>
  <si>
    <t>TOBON RODRIGUEZ LUZ DEBIS</t>
  </si>
  <si>
    <t>GARCIA MOSQUERA ZUGELYS</t>
  </si>
  <si>
    <t>SUAREZ MONTES ORFA NELLY</t>
  </si>
  <si>
    <t>VARGAS MERCADO NADIA</t>
  </si>
  <si>
    <t>DIRECTORA DE PAGOS</t>
  </si>
  <si>
    <t>TEHERAN ARTEAGA OLGA MARIA</t>
  </si>
  <si>
    <t>FERIA ANAYA CARMEN ALICIA</t>
  </si>
  <si>
    <t>GUZMAN PINEDA LUZ MARINA</t>
  </si>
  <si>
    <t>CEDEﾑO CANAVAL BERTHA</t>
  </si>
  <si>
    <t>PEREZ NAVARRO LILIANA ESTER</t>
  </si>
  <si>
    <t>GONZALEZ RODRIGUEZ OTONIEL</t>
  </si>
  <si>
    <t>ASISTENTE OPERATIVO</t>
  </si>
  <si>
    <t>ACEVEDO  CEBALLOS LIBARDO ANTONIO</t>
  </si>
  <si>
    <t>VALVERDE BARON YOEMARTE</t>
  </si>
  <si>
    <t>BEDOYA MORALES PEDRO PABLO</t>
  </si>
  <si>
    <t>ACEVEDO SALGADO FERMIN</t>
  </si>
  <si>
    <t>BANQUETH GARCIA EVEN DANIEL</t>
  </si>
  <si>
    <t>TEHERAN TAMARA VICTOR FELIX</t>
  </si>
  <si>
    <t>TORRES CORREA MISAEL</t>
  </si>
  <si>
    <t>PEREZ OSCAR ANTONIO</t>
  </si>
  <si>
    <t>GOMEZ MEDRANO EDWIN ENRIQUE</t>
  </si>
  <si>
    <t>VELASQUEZ BARRERA RICARDO ALONSO</t>
  </si>
  <si>
    <t>RODRIGUEZ DELGADO JUAN CARLOS</t>
  </si>
  <si>
    <t>COORDINADOR SUI (ANALISTA DE INFORMACION)</t>
  </si>
  <si>
    <t>SEPULVEDA MARIN FERNEDIS ALBERTO</t>
  </si>
  <si>
    <t>BERRIO MANUEL ANTONIO</t>
  </si>
  <si>
    <t>RAMIREZ POSADA JHONY DAVID</t>
  </si>
  <si>
    <t>JULIO CASTRO  LUIS FERNANDO</t>
  </si>
  <si>
    <t>ACOSTA VILLEROS JORGE ANDRES</t>
  </si>
  <si>
    <t>QUINTERO FLOREZ ARLEY JOSE</t>
  </si>
  <si>
    <t>MENA MATUTE BERNAVIO MANUEL</t>
  </si>
  <si>
    <t>CARDENAS DURANGO JUAN FERNANDO</t>
  </si>
  <si>
    <t>SOLDADOR</t>
  </si>
  <si>
    <t>MONTES ESPITIA EUSEBIO ALBERTO</t>
  </si>
  <si>
    <t>PEREZ MEJIA JOSE LUIS</t>
  </si>
  <si>
    <t>DAVILA DIAZ BRAYAN ANDRES</t>
  </si>
  <si>
    <t>RIVERA SILGADO FRESLEY ENRIQUE</t>
  </si>
  <si>
    <t>HIGUITA GARCIA JHON FREDY</t>
  </si>
  <si>
    <t>FERNANDEZ RESTREPO GUSTAVO ALBERTO</t>
  </si>
  <si>
    <t>PORTACIO MORALES CARLOS MARIO</t>
  </si>
  <si>
    <t>GAVIRIA LOPEZ FRANCISCO</t>
  </si>
  <si>
    <t>MARIN LONDOﾑO  JESUS MARIA</t>
  </si>
  <si>
    <t>TALLER</t>
  </si>
  <si>
    <t>SAJONA ALMARIO MATIAS</t>
  </si>
  <si>
    <t>PINEDA MONTIEL HERNAN JOSE</t>
  </si>
  <si>
    <t>CASTRO HIGUITA JOAQUIN MARIA</t>
  </si>
  <si>
    <t>BELLO ZUﾑIGA BERLIS</t>
  </si>
  <si>
    <t>CASTRO HIGUITA ALVEIRO DE JESUS</t>
  </si>
  <si>
    <t>JULIO SANCHEZ OSCAR ENRIQUE</t>
  </si>
  <si>
    <t>QUINTANA MENA JULIO</t>
  </si>
  <si>
    <t>DURANGO GUERRA EDUAR GIOVANNY</t>
  </si>
  <si>
    <t>VALOYES RENTERIA JOSE NED</t>
  </si>
  <si>
    <t>RENTERIA GONZALEZ WILMAR ENRIQUE</t>
  </si>
  <si>
    <t>PATIﾑO BANQUEZ OMAR</t>
  </si>
  <si>
    <t>PALACIOS MARQUEZ WILMER GABRIEL</t>
  </si>
  <si>
    <t>GUEVARA CUADRADO CARMELO ELIECER</t>
  </si>
  <si>
    <t>ESTRADA HERNANDEZ SAERO MANUEL</t>
  </si>
  <si>
    <t>MENDOZA SUAREZ PEDRO MANUEL</t>
  </si>
  <si>
    <t>GONZALEZ PITALUA JULIO CESAR</t>
  </si>
  <si>
    <t>SOCARRAS MESTRA RAFAEL ANTONIO</t>
  </si>
  <si>
    <t>CORDERO TORRES HECTOR JOSE</t>
  </si>
  <si>
    <t>SUPERVISOR SUPERNUMERARIO</t>
  </si>
  <si>
    <t>TIRADO LONDOﾑO JULIO CESAR</t>
  </si>
  <si>
    <t>PEREZ JOSE LEONARDO</t>
  </si>
  <si>
    <t>CORONADO PASTRANA CESAR MANUEL</t>
  </si>
  <si>
    <t>CEDIEL NIﾑO EUCLIDES</t>
  </si>
  <si>
    <t>MIRANDA HERNANDEZ FERNEY DE JESUS</t>
  </si>
  <si>
    <t>VALLEJO VERGARA YOMAEL DAVID</t>
  </si>
  <si>
    <t>ZAPATA ANAYA PEDRO ENRIQUE</t>
  </si>
  <si>
    <t>JARABA CASTRO JUAN CARLOS</t>
  </si>
  <si>
    <t>JIMENEZ FLOREZ LIBEY ANDRES</t>
  </si>
  <si>
    <t>RESTREPO BETANCUR LUIS ALFONSO</t>
  </si>
  <si>
    <t>BERRIO NAVARRO JOHN JAIRO</t>
  </si>
  <si>
    <t>DAVID SALAS JOHN EDINSON</t>
  </si>
  <si>
    <t>MURILLO PAEZ VANIS DE JESUS</t>
  </si>
  <si>
    <t>MOSQUERA VARGAS LUIS ALBERTO</t>
  </si>
  <si>
    <t>CERVANTES NAVARRO JORGE LUIS</t>
  </si>
  <si>
    <t>BARRERA CONTRERAS ADELSON</t>
  </si>
  <si>
    <t>REYES HERNANDEZ JOSE MIGUEL</t>
  </si>
  <si>
    <t xml:space="preserve">SAN PEDRO </t>
  </si>
  <si>
    <t>NISPERUZA ESPITIA ELIODORO JOSE</t>
  </si>
  <si>
    <t>BERTEL GONZALEZ JOSE ROSARIO</t>
  </si>
  <si>
    <t>BERRIO ARANGO JARDYER DE JESUS</t>
  </si>
  <si>
    <t>TORRES MOSQUERA EDGAR ANTONIO</t>
  </si>
  <si>
    <t>MUENTES GONZALEZ DAIRO</t>
  </si>
  <si>
    <t>SERNA DURANGO JUAN GUILLERMO</t>
  </si>
  <si>
    <t>TREJO GARAY ALBERTO JOSE</t>
  </si>
  <si>
    <t>DOMICO DOMICO JOAQUIN</t>
  </si>
  <si>
    <t>LATONERO</t>
  </si>
  <si>
    <t>DURANGO  GOMEZ  JOHSON</t>
  </si>
  <si>
    <t>FLOREZ BORJA JUAN CARLOS</t>
  </si>
  <si>
    <t>HERNANDEZ  CHAMORRO EDUARDO ANTONIO</t>
  </si>
  <si>
    <t>MENESES MARTINEZ RAFAEL ALBERTO</t>
  </si>
  <si>
    <t>QUICENO GARCIA CARLOS ALBERTO</t>
  </si>
  <si>
    <t>TALAIGUA SUAREZ ALVARO</t>
  </si>
  <si>
    <t>RAMOS HERNANDEZ FRANCISCO MIGUEL</t>
  </si>
  <si>
    <t>GONZALEZ SAAVEDRA ERLY</t>
  </si>
  <si>
    <t>ARCE MARQUEZ HERNAN ENRIQUE</t>
  </si>
  <si>
    <t>FIGUEROA ROJAS DARGUY</t>
  </si>
  <si>
    <t>ARGEL RIOS LUIS ALBERTO</t>
  </si>
  <si>
    <t>MESA DURANGO JHON FERNEY</t>
  </si>
  <si>
    <t>SOTO DELGADO DARIO</t>
  </si>
  <si>
    <t>BARRIOS BELTRAN WILFRIDO JOSE</t>
  </si>
  <si>
    <t>QUINTANA NORIEGA JESUS DAVID</t>
  </si>
  <si>
    <t>D</t>
  </si>
  <si>
    <t>ABADIA ASPRILLA JOHN JEILER</t>
  </si>
  <si>
    <t>ZABALA ESCOBAR AMINSON</t>
  </si>
  <si>
    <t>CAUSIL IBARGUEN JHON ALEXANDER</t>
  </si>
  <si>
    <t>GONZALEZ LOZANO ISAAC DAVID</t>
  </si>
  <si>
    <t>MARULANDA CUESTA BAYRON ANDRES</t>
  </si>
  <si>
    <t>VELASQUEZ TAPIAS ELBER</t>
  </si>
  <si>
    <t>DIAZ GUERRA CRISTIAN DAVID</t>
  </si>
  <si>
    <t>BARCO CUERO CAMILA DEL PILAR</t>
  </si>
  <si>
    <t>SUPERVISOR OPERATIVO</t>
  </si>
  <si>
    <t>CASTRO GALINDO VICTOR ALFONSO</t>
  </si>
  <si>
    <t>CUELLO MESA CESAR EDUARDO</t>
  </si>
  <si>
    <t>ZURITA PINEDA ABELARDO</t>
  </si>
  <si>
    <t>AGUDELO PALACIOS JEAN CARLOS</t>
  </si>
  <si>
    <t>ASPRILLA LUNA EULISES MANUEL</t>
  </si>
  <si>
    <t>MEDINA ARROYO MELKIN</t>
  </si>
  <si>
    <t>ARTEAGA PEREZ HEISON</t>
  </si>
  <si>
    <t>SALGADO VILLADA CRISTIAN CAMILO</t>
  </si>
  <si>
    <t>MOSQUERA CARRASCAL JHON ALEYSON</t>
  </si>
  <si>
    <t>TAPIA ESPITIA HERNAN DARIO</t>
  </si>
  <si>
    <t>HERNANDEZ FERNANDEZ NORBERTO JOSE</t>
  </si>
  <si>
    <t>AREIZA SIMANCA CARLOS ALBERTO</t>
  </si>
  <si>
    <t>OPERARIO DE DISPOSICION FINAL</t>
  </si>
  <si>
    <t>ANDRADE HENAO BRAYAN STIVEN</t>
  </si>
  <si>
    <t>ISAZA DIAZ WILLIAM DANIEL</t>
  </si>
  <si>
    <t>ZAPATA CARVAJAL LEANDRO</t>
  </si>
  <si>
    <t>SEPULVEDA SEPULVEDA NULBER ALDREY</t>
  </si>
  <si>
    <t>USUGA DAVID ISRAEL</t>
  </si>
  <si>
    <t>CARRASCAL DORIA ANYI VANESSA</t>
  </si>
  <si>
    <t>ROJAS ROMERO RONAL</t>
  </si>
  <si>
    <t>PALACIOS BARRIOS CRISTIAN DAVID</t>
  </si>
  <si>
    <t>JARAMILLO MURILLO EILEN ALEJANDRA</t>
  </si>
  <si>
    <t>VELASQUEZ GAVIRIA JAN CAMILO</t>
  </si>
  <si>
    <t>CARVAJAL MOYA JOSE ALFREDO</t>
  </si>
  <si>
    <t>JULIO GOMEZ ALEXANDER</t>
  </si>
  <si>
    <t>CARDONA ESCOBAR YIRLEY</t>
  </si>
  <si>
    <t>PALENCIA AVILA JHON ALEXANDER</t>
  </si>
  <si>
    <t>ALVAREZ BARRIOS EDINSON DE JESUS</t>
  </si>
  <si>
    <t>JIMENEZ PUENTES MICHAEL</t>
  </si>
  <si>
    <t>PELAEZ ARROYAVE JOHN ALEJANDRO</t>
  </si>
  <si>
    <t>ROBLEDO IBARGUEN GEOR EDIS</t>
  </si>
  <si>
    <t>PASTRANA LICONA BEYMER ALBERTO</t>
  </si>
  <si>
    <t>MOSQUERA COPETE LEISON</t>
  </si>
  <si>
    <t>MELENDEZ MENDOZA DUVER ANDRES</t>
  </si>
  <si>
    <t>NISPERUZA BERRIO OSNEIDER</t>
  </si>
  <si>
    <t>RIVAS ROMAÑA FRAYNER DAVID</t>
  </si>
  <si>
    <t>POLO NARVAEZ ARMANDO JOSE</t>
  </si>
  <si>
    <t>MEDINA VALENCIA ANDRES</t>
  </si>
  <si>
    <t>CABRALES SUAREZ WILLIAM ENRIQUE</t>
  </si>
  <si>
    <t>DAVID ZAPATA EDWIN ALONSO</t>
  </si>
  <si>
    <t>MARTINEZ PALENCIA DAIMER DE JESUS</t>
  </si>
  <si>
    <t>SANTOS MENA JOSE DANIEL</t>
  </si>
  <si>
    <t>CARO MORELOS LUIS EDUARDO</t>
  </si>
  <si>
    <t>CARVAJAL LUCAS JUAN ERNESTO</t>
  </si>
  <si>
    <t>MORENO MOSQUERA MELISA LISBETH</t>
  </si>
  <si>
    <t>GOMEZ ANAYA YEISON</t>
  </si>
  <si>
    <t>TUBERQUIA ECHEVERRY SANTIAGO</t>
  </si>
  <si>
    <t>JAIRO MACHADO CORDOBA</t>
  </si>
  <si>
    <t>VARGAS VILLA NELSON</t>
  </si>
  <si>
    <t>ECHAVARRIA FLOREZ JUAN ESTEBAN</t>
  </si>
  <si>
    <t>VARGAS CANO VICTOR ALFONSO</t>
  </si>
  <si>
    <t>PATERNINA ALVAREZ EDILBERTO MANUEL</t>
  </si>
  <si>
    <t>BOTERO BOTERO FRANK RODRIGO</t>
  </si>
  <si>
    <t>PALACIO MATUTE JHEISON</t>
  </si>
  <si>
    <t>BANQUEZ MEJIA SIMON ALBERTO</t>
  </si>
  <si>
    <t>BERNAL REDIN YAN FREINER</t>
  </si>
  <si>
    <t>DURANGO MONTES JUAN PABLO</t>
  </si>
  <si>
    <t>BARRERA SUAREZ BERNARDO</t>
  </si>
  <si>
    <t>MARTINEZ ARROYO MAURICIO ANDRES</t>
  </si>
  <si>
    <t>PEREZ CAMARGO CARLOS MARIO</t>
  </si>
  <si>
    <t>MIRA PALACIO CARLOS DANIEL</t>
  </si>
  <si>
    <t>GONZALEZ BRUN EZEQUIEL</t>
  </si>
  <si>
    <t>CORREA ARRIETA DUVIER ANTONIO</t>
  </si>
  <si>
    <t>LOPEZ RODRIGUEZ BRANDON ESTIV</t>
  </si>
  <si>
    <t>RUIZ CARDOZA YUBIER</t>
  </si>
  <si>
    <t>VALVERDE PALENCIA LUIS ALBERTO</t>
  </si>
  <si>
    <t>MARTINEZ SAUCEDO NEUDIS</t>
  </si>
  <si>
    <t>RANGEL SALGADO JHON NEIDER</t>
  </si>
  <si>
    <t>DAVID USUGA EDWIN ANTONIO</t>
  </si>
  <si>
    <t>MARTINEZ MOGROVEJO PLUTARCO</t>
  </si>
  <si>
    <t>LARA CASTILLO LEWIS ALEXIS</t>
  </si>
  <si>
    <t>CALDERON MONTERROZA IVAN ANDRES</t>
  </si>
  <si>
    <t>CIOLO HERNANDEZ DEIBER JOSE</t>
  </si>
  <si>
    <t>OPERARIO DE BARRIDO VIAL</t>
  </si>
  <si>
    <t>CORDOBA PACHECO JESUS GEYLER</t>
  </si>
  <si>
    <t>DE LA ROSA MARTINEZ JORGE LUIS</t>
  </si>
  <si>
    <t>RIVERO CARDENAS CARLOS DANIEL</t>
  </si>
  <si>
    <t>ZORRILLA GOMEZ MANUEL ENRIQUE</t>
  </si>
  <si>
    <t>GALEANO VANEGAS JUAN GABRIEL</t>
  </si>
  <si>
    <t>MORALES NARANJO WUADIS JHOEL</t>
  </si>
  <si>
    <t>AYALA CORDOBA YEINER ANTONIO</t>
  </si>
  <si>
    <t>CRUZ CABADIA TATIANA</t>
  </si>
  <si>
    <t>CARCAMO FRANCO JUAN CAMILO</t>
  </si>
  <si>
    <t>DURAN SILVA DAYANA MICHEL</t>
  </si>
  <si>
    <t>PEÑA PALENCIA LUIS ARMANDO</t>
  </si>
  <si>
    <t>QUINTANA ROMAÑA JULIO CESAR</t>
  </si>
  <si>
    <t>CASTILLO BALDOVINO DIEGO JOSE</t>
  </si>
  <si>
    <t>MERCADO ALEMAN JHONATAN EDUARDO</t>
  </si>
  <si>
    <t>PEREZ ROJAS MIGUEL DOMINGO</t>
  </si>
  <si>
    <t>PINEDA MONTIEL JOSE ANTONIO</t>
  </si>
  <si>
    <t xml:space="preserve"> </t>
  </si>
  <si>
    <t>TEHERAN MONTIEL OSCAR LUIS</t>
  </si>
  <si>
    <t>OVIEDO DORIA JESUS ADRIAN</t>
  </si>
  <si>
    <t>BOLEMOS OSPINA CLEVERSON SMITH</t>
  </si>
  <si>
    <t>PASTRANA AVILA GERMAN DARIO</t>
  </si>
  <si>
    <t>:</t>
  </si>
  <si>
    <t>CUELLO DURANGO VICTOR MANUEL</t>
  </si>
  <si>
    <t>JULIO ARCIA YAIR ENRIQUE</t>
  </si>
  <si>
    <t>LARGO PUERTA ERIN</t>
  </si>
  <si>
    <t>RACERO LOPEZ HERNEY</t>
  </si>
  <si>
    <t>ALEMAN PIEDRAHITA EDWIN MAURICIO</t>
  </si>
  <si>
    <t>CARDONA SEGURA WILMER ANDRES</t>
  </si>
  <si>
    <t>POLO GUERRERO ARGIRO MIGUEL</t>
  </si>
  <si>
    <t>MUENTES NARVAEZ MATEO</t>
  </si>
  <si>
    <t>CUESTA PINEDA MARLON DAVID</t>
  </si>
  <si>
    <t>ZUÑIGA CUESTA JAVIER ALBERTO</t>
  </si>
  <si>
    <t>GUZMAN CARRASQUILLA JOSE ANTONIO</t>
  </si>
  <si>
    <t>REGINO PEREZ ESNEIDER</t>
  </si>
  <si>
    <t>HERNANDEZ VARGAS JAVIER ANTONIO</t>
  </si>
  <si>
    <t xml:space="preserve"> URABA</t>
  </si>
  <si>
    <t>MENDEZ MORENO JORGE LUIS</t>
  </si>
  <si>
    <t>NORIEGA RIVERA JESUS DANIEL</t>
  </si>
  <si>
    <t>ARAUJO CORREA YERALD STYVEN</t>
  </si>
  <si>
    <t>OREJUELA CENTENO ANA MARIA</t>
  </si>
  <si>
    <t>PINO MOSQUERA LUIS FERNANDO</t>
  </si>
  <si>
    <t>CARMONA MONTOYA JONAN</t>
  </si>
  <si>
    <t>REYES TUNJANO WALTER ANTONIO</t>
  </si>
  <si>
    <t>BERRIO URBIÑEZ JANIER</t>
  </si>
  <si>
    <t>SALINAS HERRON OSNEIDER DE JESUS</t>
  </si>
  <si>
    <t>ORTIZ LOPEZ DAIRO DE JESUS</t>
  </si>
  <si>
    <t>BAUTISTA MESTRA YAMID NAID</t>
  </si>
  <si>
    <t>CHANCI MOSQUERA JUAN DIEGO</t>
  </si>
  <si>
    <t>DIAZ GONZALEZ ANDERSON</t>
  </si>
  <si>
    <t>TORREZ NOVA VICTOR MANUEL</t>
  </si>
  <si>
    <t>FERRER ESCOBAR ABRAHAM</t>
  </si>
  <si>
    <t>ARAUJO MARTINEZ MARIO DANIEL</t>
  </si>
  <si>
    <t>CORDOBA HERNANDEZ AGUSTIN MANUEL</t>
  </si>
  <si>
    <t>PEREIRA PION JOHN JAIRO</t>
  </si>
  <si>
    <t>SALAS IBARGUEN JUAN DAVID</t>
  </si>
  <si>
    <t>PEREZ PAEZ DIEGO ARMANDO</t>
  </si>
  <si>
    <t>REYES BRAVO YESID</t>
  </si>
  <si>
    <t>NERIO ROJAS ALEX FERNANDO</t>
  </si>
  <si>
    <t>PEÑUELA CARRASCAL MAURICIO</t>
  </si>
  <si>
    <t>ANTIOQUIA</t>
  </si>
  <si>
    <t>VERGARA CASTILLO JOSE BENITO</t>
  </si>
  <si>
    <t>VELEZ MORALES GUSTAVO ADOLFO</t>
  </si>
  <si>
    <t>PEREZ RIOS WILSON ANDRES</t>
  </si>
  <si>
    <t>MOSQUERA RIVAS RONAL STEVEN</t>
  </si>
  <si>
    <t>RAMIREZ SANCHEZ JUAN DIEGO</t>
  </si>
  <si>
    <t>SERPA GUERRERO LUIS GABRIEL</t>
  </si>
  <si>
    <t>RODRIGUEZ CANO RIGO JOHAN</t>
  </si>
  <si>
    <t>CARBONEL BENAVIDES MANUEL DE JESUS</t>
  </si>
  <si>
    <t>CUADRADO  SIMANCAS JHOBEINIS</t>
  </si>
  <si>
    <t>TORDECILLA MORALES DANIEL</t>
  </si>
  <si>
    <t>ROSARIO GONZALEZ YURANIS DEL CARMEN</t>
  </si>
  <si>
    <t>SALGADO MERCADO NORVEY DANILO</t>
  </si>
  <si>
    <t>CASTAÑO OCAMPO JAVIER MAURICIO</t>
  </si>
  <si>
    <t>BANQUET RAMOS OTIS ESTANI</t>
  </si>
  <si>
    <t>BARAHONA DIAZ LUIS ALBERTO</t>
  </si>
  <si>
    <t>PALACIOS ALVAREZ LUIS FERNANDO</t>
  </si>
  <si>
    <t>GOMEZ MARTINEZ JUAN SEBASTIAN</t>
  </si>
  <si>
    <t>AGUDELO RAMIREZ JOSE ALBERTO</t>
  </si>
  <si>
    <t>VALOYES MOSQUERA LUIS ARMANDO</t>
  </si>
  <si>
    <t>CALDERON LOPEZ NEDER ANDRES</t>
  </si>
  <si>
    <t>SANCHEZ TORDECILLA ANGELICA MARIA</t>
  </si>
  <si>
    <t>CONTRERAS LOPEZ YEIMIS DEL CARMEN</t>
  </si>
  <si>
    <t>RIVAS QUINTO JHON EDUAR</t>
  </si>
  <si>
    <t>MARTINEZ RAMIREZ JOSE JULIAN</t>
  </si>
  <si>
    <t>GRACIANO BORJA DEIMER ANTONIO</t>
  </si>
  <si>
    <t>GALVIS HERNANDEZ LANIS MARCELA</t>
  </si>
  <si>
    <t>ECHAVARRIA ECHEVERRI JUAN PABLO</t>
  </si>
  <si>
    <t>PORTACIO RAMIREZ CARLOS ALBERTO</t>
  </si>
  <si>
    <t>ZAPATA BURITICA SEBASTIAN</t>
  </si>
  <si>
    <t>ECHAVARRIA  MUÑOZ CRISTIAN CAMILO</t>
  </si>
  <si>
    <t>RENTERIA RENTERIA YORMAN YAIR</t>
  </si>
  <si>
    <t>MARMOLEJO CORDOBA WILLIAN ANDRES</t>
  </si>
  <si>
    <t>RODRIGUEZ TRESPALACIOS SAMIL YESID</t>
  </si>
  <si>
    <t>SALINAS GONZALEZ JEAN CARLOS</t>
  </si>
  <si>
    <t>RICARDO ARCO JAIME ANDRES</t>
  </si>
  <si>
    <t>FERRER PALLARES ARLEY DE JESUS</t>
  </si>
  <si>
    <t>VARGAS JIMENEZ JAVIER</t>
  </si>
  <si>
    <t xml:space="preserve"> COCHERO MONTIEL JULIO EMIRO</t>
  </si>
  <si>
    <t>MARTINEZ BARRIOS DIEGO ALEJANDRO</t>
  </si>
  <si>
    <t>GONZALEZ ACOSTA EDWIN ADRIAN</t>
  </si>
  <si>
    <t>MARIN BALZAN CARLOS ANDRES</t>
  </si>
  <si>
    <t>HERNANDEZ DE LOS REYES GRISELA</t>
  </si>
  <si>
    <t>GOEZ TORRES YON JAIRO</t>
  </si>
  <si>
    <t>CASTRO PEREZ DAIMER RAFAEL</t>
  </si>
  <si>
    <t>ORTEGA GONZALEZ ORQUIDEA ISABEL</t>
  </si>
  <si>
    <t>PRASCA RAMIREZ CAMILO ANDRES</t>
  </si>
  <si>
    <t>MARTINEZ SANCHEZ LUIS ANTONY</t>
  </si>
  <si>
    <t>LEON PEÑA NELSON</t>
  </si>
  <si>
    <t>AGUAS FERNANDEZ GILBERTO</t>
  </si>
  <si>
    <t>RAMIREZ PALACIOS ANTONY STICK</t>
  </si>
  <si>
    <t>TREJOL SIERRA GUSTAVO ADOLFO</t>
  </si>
  <si>
    <t>PESTANA RAMIREZ JADER ANDRES</t>
  </si>
  <si>
    <t>MOSQUERA SANTOS LEVIR YAMITH</t>
  </si>
  <si>
    <t>VELASQUEZ ACOSTA CESAR EDUARDO</t>
  </si>
  <si>
    <t>GUTIERREZ ALEMAN OSCAR DARIO</t>
  </si>
  <si>
    <t>MUÑOZ PEÑA JESUS ALBERTO</t>
  </si>
  <si>
    <t>MONTES LOPEZ SEBASTIAN</t>
  </si>
  <si>
    <t>RAMIREZ ARGUMEDO JOHN FREDY</t>
  </si>
  <si>
    <t>MENDOZA USUGA JHON JARLY</t>
  </si>
  <si>
    <t>DAVID PEROZA SEBASTIAN ANDRES</t>
  </si>
  <si>
    <t>DEL TORO PEÑA JUAN CARLOS</t>
  </si>
  <si>
    <t>GONZALEZ GUERRA SAMIR DARIO</t>
  </si>
  <si>
    <t>VILLA FLOREZ SERGIO ANDRES</t>
  </si>
  <si>
    <t>MARTINEZ RAMOS JORGE ELIECER</t>
  </si>
  <si>
    <t>MALDONADO MURILLO DIEGO</t>
  </si>
  <si>
    <t>SOLAR GOMEZ JHONATAN</t>
  </si>
  <si>
    <t>AVILES CARMONA CARLOS ALBERTO</t>
  </si>
  <si>
    <t>TIRADO PASTRANA FERNEL ANDRES</t>
  </si>
  <si>
    <t>PEREZ NAVARRO TATIANA MARIA</t>
  </si>
  <si>
    <t>CAVADIA MURILLO YUSTIN ANDRES</t>
  </si>
  <si>
    <t>PALACIOS CASTILLO YAN CARLOS</t>
  </si>
  <si>
    <t>GARCIA ORTEGA LINA MARCELA</t>
  </si>
  <si>
    <t>MENA CORDOBA MAIRA PATRICIA</t>
  </si>
  <si>
    <t>PIÑA ACOSTA ROBERT JOSE</t>
  </si>
  <si>
    <t>CARTAGENA GUISAO CRISTIAN CAMILO</t>
  </si>
  <si>
    <t>YEPES BANDA ADONIS MIGUEL</t>
  </si>
  <si>
    <t>SUAREZ YEPES JORGE MARIO</t>
  </si>
  <si>
    <t>DIAZ PEREIRA WIMER JOSE</t>
  </si>
  <si>
    <t>JARAMILLO VITAL MEDARDO MANUEL</t>
  </si>
  <si>
    <t>DIAZ PAEZ DIEGO LUIS</t>
  </si>
  <si>
    <t>HURTADO ROMAÑA YUBER ALEXANDER</t>
  </si>
  <si>
    <t>USUGA DURANGO YEFERSON</t>
  </si>
  <si>
    <t>ALVAREZ ANAYA YOIMAR</t>
  </si>
  <si>
    <t>SUPERNUMERARIO BARRIDO</t>
  </si>
  <si>
    <t>CRUZ HERRERA DIDIER ENRIQUE</t>
  </si>
  <si>
    <t>BLANDON BLANDON JHON JADER</t>
  </si>
  <si>
    <t>SAEZ SEVILLA SAMITH SAUL</t>
  </si>
  <si>
    <t>GRACIA MORALES EMERSON</t>
  </si>
  <si>
    <t>JULIO ANAYA YEISON DAVID</t>
  </si>
  <si>
    <t>GARCIA TORIBIO WILSON ANTONIO</t>
  </si>
  <si>
    <t>CONDUCTOR MOTO CARRO</t>
  </si>
  <si>
    <t>AREIZA JIMENEZ FARLEY ARTURO</t>
  </si>
  <si>
    <t>VALENCIA LONDOÑO ARGEMIRO</t>
  </si>
  <si>
    <t>PEREZ LADEUX EINER ANTONIO</t>
  </si>
  <si>
    <t>GRACIA OSORIO EDINSON</t>
  </si>
  <si>
    <t>PATERNINA PEREZ ERICK ENRIQUE</t>
  </si>
  <si>
    <t>CONDUCTOR MOTOCARRO</t>
  </si>
  <si>
    <t>DIAZ VILLADA HAMIS YANILE</t>
  </si>
  <si>
    <t>PALACIO PEREZ MARIA MARGARITA</t>
  </si>
  <si>
    <t>CHAVARRIA CORREA WILDER ALONSO</t>
  </si>
  <si>
    <t>MARTINEZ MORENO ALEXANDER</t>
  </si>
  <si>
    <t>VALENCIA CASTILLO OSNEIDER DAVID</t>
  </si>
  <si>
    <t>MENA QUINTANA PAOLA ANDREA</t>
  </si>
  <si>
    <t>GUERRERO ESPEJO NIXON JAIDER</t>
  </si>
  <si>
    <t>PEREZ PACHECO ARELIS MARIA</t>
  </si>
  <si>
    <t>UPARELA FUENTES JOSE CARLOS</t>
  </si>
  <si>
    <t>CASTRO SERRANO JUAN CARLOS</t>
  </si>
  <si>
    <t>HERNANDEZ BERTEL JESUALDO</t>
  </si>
  <si>
    <t>RIOS VEGA DUVAN ADOLFO</t>
  </si>
  <si>
    <t>COORDINADOR MECANICO</t>
  </si>
  <si>
    <t>SIMANCA MESA RONNY DAVID</t>
  </si>
  <si>
    <t>MECANICO SOLDADOR</t>
  </si>
  <si>
    <t>PACHECO LARA PEDRO JOSE</t>
  </si>
  <si>
    <t>RAMOS FLOREZ JUAN CARLOS</t>
  </si>
  <si>
    <t>DIAZ VERGARA JEAN JARRIS</t>
  </si>
  <si>
    <t>TORRES CASTAÑEDA OMAR DAVID</t>
  </si>
  <si>
    <t xml:space="preserve">NECHI </t>
  </si>
  <si>
    <t>TANGARIFE TANGARIFE JENADIO ALCIDES</t>
  </si>
  <si>
    <t>PINEDA RODRIGUEZ HERNAN DARIO</t>
  </si>
  <si>
    <t>PINEDA JARAMILLO JUAN CARLOS</t>
  </si>
  <si>
    <t>LUGO LOPEZ JUAN DAVID</t>
  </si>
  <si>
    <t>SUPERNUMERARIO RECOLECCION</t>
  </si>
  <si>
    <t>VASQUEZ PEREZ ALDAIR</t>
  </si>
  <si>
    <t>NISPERUZA MINOTA CRISTIAN CAMILO</t>
  </si>
  <si>
    <t>MOSQUERA MOSQUERA YANCY PATRICIA</t>
  </si>
  <si>
    <t>CASTRILLON ROJAS IVAN ALBERTO</t>
  </si>
  <si>
    <t>MADERA ESPEJO EUDER ANDRES</t>
  </si>
  <si>
    <t>LOBON MEJIA LEONCIO STIVEN</t>
  </si>
  <si>
    <t>DURANGO CAMPO DAVINSON</t>
  </si>
  <si>
    <t>GABRIEL RENTERIA GARCIA</t>
  </si>
  <si>
    <t>GOMEZ VELEZ YARLIDI</t>
  </si>
  <si>
    <t>SUAREZ GOMEZ MEDARDO SEGUNDO</t>
  </si>
  <si>
    <t>MENA ROMERO YASIRA</t>
  </si>
  <si>
    <t>HOYOS PEÑATA ORLENIS DE JESUS</t>
  </si>
  <si>
    <t>VALENCIA MADRIGAL JULIAN</t>
  </si>
  <si>
    <t>LEMUS HERNANDEZ YUDY DEL CARMEN</t>
  </si>
  <si>
    <t>SAYAGO HERNANDEZ ISAAC DE JESUS</t>
  </si>
  <si>
    <t>MURILLO GOMEZ JOHAN SEBASTIAN</t>
  </si>
  <si>
    <t>DELGADO CASTAÑEDA MARLEIDYS PAOLA</t>
  </si>
  <si>
    <t>ATENCIO SANCHEZ PEDRO MIGUEL</t>
  </si>
  <si>
    <t>MURILLO MANCO CARLOS ANDRES</t>
  </si>
  <si>
    <t>PANIAGUA PEREZ JHON FREDY</t>
  </si>
  <si>
    <t>GUERRA CORDERO GERMAN DARIO</t>
  </si>
  <si>
    <t>GRANADA USUGA FABIAN</t>
  </si>
  <si>
    <t>VIAÑA CATALAN JOSE LUIS</t>
  </si>
  <si>
    <t>ZEA MOSQUERA DIANA PATRICIA</t>
  </si>
  <si>
    <t>ESPEJO CONTRERAS ANDRES FELIPE</t>
  </si>
  <si>
    <t>HURTADO GIRON JHON JAILER</t>
  </si>
  <si>
    <t>CHARRASQUIEL TAPIAS JOHANA SIRLEY</t>
  </si>
  <si>
    <t>ORTEGA MOLINA ANGEL SANTIAGO</t>
  </si>
  <si>
    <t>TREJOS CANOLE ALEX</t>
  </si>
  <si>
    <t>SIBAJA PADILLA LUIS FELIPE</t>
  </si>
  <si>
    <t>QUIROZ SOTO EDWAR ALONSO</t>
  </si>
  <si>
    <t>VALLE TORRES WILDER ANDRES</t>
  </si>
  <si>
    <t>RUIZ ROJAS NELSON ALBERTO</t>
  </si>
  <si>
    <t>RUIZ ZAPATA LINDA JENIFER</t>
  </si>
  <si>
    <t>NADER  GARCIA FEDOR RODRIGO</t>
  </si>
  <si>
    <t>RIVAS  VALENCIA EMERSON</t>
  </si>
  <si>
    <t>TABORDA ALVAREZ DIANA MARCELA</t>
  </si>
  <si>
    <t>TRESPALACIO BANQUETH CRISTIAN DAVID</t>
  </si>
  <si>
    <t>ESPEJO JULIO MARLON SAMITH</t>
  </si>
  <si>
    <t>CUESTA COLORADO MARCOS DANIEL</t>
  </si>
  <si>
    <t>PEREZ LOPEZ ENADIS EMILCE</t>
  </si>
  <si>
    <t>NAVALES SANTANA EDWIN DAVID</t>
  </si>
  <si>
    <t>PEREZ VARELA BRAYAN JOSE</t>
  </si>
  <si>
    <t>POLANCO  LOPEZ ZENITH PAOLA</t>
  </si>
  <si>
    <t>VARGAS PALACIOS CRISTIAN DAVID</t>
  </si>
  <si>
    <t>HERNANDEZ  SALAS HERNAN DAVID</t>
  </si>
  <si>
    <t>USUGA DIAZ ESTEBAN</t>
  </si>
  <si>
    <t>CHAVERRA ANGIE KATERINE</t>
  </si>
  <si>
    <t>ACEVEDO JULIO CARLOS EDUARDO</t>
  </si>
  <si>
    <t>GONZALEZ DIAZ RUGERO JOSE</t>
  </si>
  <si>
    <t>CAUSIL BUSTAMANTE JHONNY JOSE</t>
  </si>
  <si>
    <t>AUXILIAR DE MANTENIMIENTO</t>
  </si>
  <si>
    <t>BARRIOS VEGA NARLY MARGOTH</t>
  </si>
  <si>
    <t>TORRES TEJADA DALWIR MANUEL</t>
  </si>
  <si>
    <t>AMIN SANCHEZ HADAD</t>
  </si>
  <si>
    <t>ORDOÑEZ MADRID LUIS FERNANDO</t>
  </si>
  <si>
    <t>PATIÑO SEPULVEDA EIBAR ONEL</t>
  </si>
  <si>
    <t>CUESTA ROMAÑA CRISTHIAN</t>
  </si>
  <si>
    <t>ARROYO GARCES NEDER LUIS</t>
  </si>
  <si>
    <t>AUXILIAR DE SOLDADURA</t>
  </si>
  <si>
    <t>ESPINOSA  GUERRERO CARLOS</t>
  </si>
  <si>
    <t>MOLINA BORJA YAMID ALFREDO</t>
  </si>
  <si>
    <t>MIELES LUNA JUAN CARLOS</t>
  </si>
  <si>
    <t>TERAN SEÑAS YEIMER ANDRES</t>
  </si>
  <si>
    <t>MARTINEZ VERGARA LUIS EDUARDO</t>
  </si>
  <si>
    <t>PACHECO MONTES JHON FREDY</t>
  </si>
  <si>
    <t>RUZ GUTIERREZ JAIME</t>
  </si>
  <si>
    <t>DEL CASTILLO ESPINOSA LUIS ARMANDO</t>
  </si>
  <si>
    <t>MENA BARCOS WARNER SMITH</t>
  </si>
  <si>
    <t>MOSQUERA ROVIRA DEIBER</t>
  </si>
  <si>
    <t>GAMBOA VELASQUEZ JUAN GUILLERMO</t>
  </si>
  <si>
    <t>VITAL SANCHEZ CRISTINA ISABEL</t>
  </si>
  <si>
    <t>ROMERO PEREZ CARLOS ANDRES</t>
  </si>
  <si>
    <t>1.0</t>
  </si>
  <si>
    <t>2.0</t>
  </si>
  <si>
    <t>ALVAREZ SEPULVEDA CARLOS ANDRES</t>
  </si>
  <si>
    <t>MACHADO MENDOZA JUAN EDILSON</t>
  </si>
  <si>
    <t>MARTINEZ AYALA JUAN GUILLERMO</t>
  </si>
  <si>
    <t>GARCIA CORDOBA DIEGO</t>
  </si>
  <si>
    <t>BERRIO MENDEZ JUAN DAVID</t>
  </si>
  <si>
    <t>CASTAÑEDA CASTRO RAUL ADOLFO</t>
  </si>
  <si>
    <t>BARRETO PADILLA PEDRO ENRIQUE</t>
  </si>
  <si>
    <t>BENITEZ EDELBERTO ANTONIO</t>
  </si>
  <si>
    <t>MONSALVE MARULANDA EDWIN ORLANDO</t>
  </si>
  <si>
    <t>CUESTA PESTAÑA LUIS ARNOBIO</t>
  </si>
  <si>
    <t>POLO BLANCO ALEJANDRO ANTONIO</t>
  </si>
  <si>
    <t>PINEDA JUANES LUIS ANIBAL</t>
  </si>
  <si>
    <t>MORENO BETANCUR TIBERIO ELIAS</t>
  </si>
  <si>
    <t>FLOREZ ATENCIO KATTY PAOLA</t>
  </si>
  <si>
    <t>BOHORQUEZ MENA BRYAM</t>
  </si>
  <si>
    <t>MURILLO MERCADO FERNANDO ALEXI</t>
  </si>
  <si>
    <t>MACHADO  DIAZ JONATHAN ALEXANDER</t>
  </si>
  <si>
    <t>GOMEZ SERRATO ALEX DAVID</t>
  </si>
  <si>
    <t>PEÑA REGINO ALEJANDRO</t>
  </si>
  <si>
    <t>CALLE  VALERIO JORJANY DEL CARMEN</t>
  </si>
  <si>
    <t>CARTAGENA GUISAO JOAN ESTEBAN</t>
  </si>
  <si>
    <t>SIERRA SUAREZ NEVER DE JESUS</t>
  </si>
  <si>
    <t>MOSQUERA PEREA ARNOL JHONATHAN</t>
  </si>
  <si>
    <t>ESPITIA HERNANDEZ JUAN CARLOS</t>
  </si>
  <si>
    <t>MARTINEZ AYARZA LUIS ALBERTO</t>
  </si>
  <si>
    <t>PEREA OREJUELA LUIS CARLOS</t>
  </si>
  <si>
    <t>BLANCO MENDOZA JULIAN</t>
  </si>
  <si>
    <t>VERGARA VARGAS OMAR DANIEL</t>
  </si>
  <si>
    <t>HERNANDEZ MERCADO EVER LUIS</t>
  </si>
  <si>
    <t>PALACIO MURILLO YURLEDYS</t>
  </si>
  <si>
    <t>URANGO PITALUA JOSE ENRIQUE</t>
  </si>
  <si>
    <t>CERVANTES ORTIZ LUIS ALBERTO</t>
  </si>
  <si>
    <t>RUIZ MARTINEZ MIGUEL ANGEL</t>
  </si>
  <si>
    <t>PEÑATE ALTAMIRANDA CRISTIAN JOSE</t>
  </si>
  <si>
    <t>MORA  HERRERA JONATAN ANDRES</t>
  </si>
  <si>
    <t>PEREZ MORA JAVIER ANDRES</t>
  </si>
  <si>
    <t>LOPEZ NEUBAL DANIEL ANDRES</t>
  </si>
  <si>
    <t>CANOLE GIL ELIAN DARIO</t>
  </si>
  <si>
    <t>MARTINEZ FIGUEROA ALVARO ROGELIO</t>
  </si>
  <si>
    <t>MACHUCA CHAVERRA VIQUIS MAGLEDIS</t>
  </si>
  <si>
    <t>YEPES VASQUEZ ARNALDO OSBERTO</t>
  </si>
  <si>
    <t>SIERRA ROSSO DOMINGO MIGUEL</t>
  </si>
  <si>
    <t>TEHERAN ALMANZA CRISTIAN LEONEL</t>
  </si>
  <si>
    <t>MATURANA PEÑA JULIO CESAR</t>
  </si>
  <si>
    <t>HOYOS MONTALVO IVAN DARIO</t>
  </si>
  <si>
    <t>ACOSTA ESQUIVEL ALEX DAVID</t>
  </si>
  <si>
    <t>HUMANEZ BURGOS VICTOR HUGO</t>
  </si>
  <si>
    <t>URREGO GUISAO JAVIER ANDRES</t>
  </si>
  <si>
    <t>5.0</t>
  </si>
  <si>
    <t>DE HOYOS MARTINEZ ROSALBA</t>
  </si>
  <si>
    <t>GONZALEZ VELASQUEZ MANUEL JOVANY</t>
  </si>
  <si>
    <t>BAZA MARTINEZ FERNANDO JOSE</t>
  </si>
  <si>
    <t>RESTREPO DURANGO JESUS DANIEL</t>
  </si>
  <si>
    <t>SALAZAR  USUGA RUBIER</t>
  </si>
  <si>
    <t>MISAS VELASQUEZ JADER JOSE</t>
  </si>
  <si>
    <t>ZAPATA LOPEZ YORLY ANDRES</t>
  </si>
  <si>
    <t>ARBELAEZ JUAN MANUEL</t>
  </si>
  <si>
    <t>PALACIOS BOLIVAR OSCAR DAVID</t>
  </si>
  <si>
    <t>HIDALGO ASPRILLA  NEYDER JOSE</t>
  </si>
  <si>
    <t>TORRES REYES EDUAR</t>
  </si>
  <si>
    <t>DIAZ ARROYO LUIS ALBERTO</t>
  </si>
  <si>
    <t>DE LAS AGUAS JHON ALEXANDER</t>
  </si>
  <si>
    <t>CUESTA LENIS JOHN FREDY</t>
  </si>
  <si>
    <t>CORCHO LONDOÑO JAIRO CESAR</t>
  </si>
  <si>
    <t>VILLEGAS GAVIRIA YIRLEY ALEJANDRA</t>
  </si>
  <si>
    <t>VALENCIA MARTINEZ BRIAN SCOTT</t>
  </si>
  <si>
    <t>SUPERNUMERARIO CONDUCTOR</t>
  </si>
  <si>
    <t>VALENCIA MARTINEZ LUIS STEVEN</t>
  </si>
  <si>
    <t>GUERRERO PADILLA EDINSON ANTONIO</t>
  </si>
  <si>
    <t>MIRANDA RESTREPO YEISON ANDRES</t>
  </si>
  <si>
    <t>MUÑOZ ARTEAGA EDWIN JOSE</t>
  </si>
  <si>
    <t>MOSQUERA ASPRILLA SONNY LUCIA</t>
  </si>
  <si>
    <t>CANTERO GONZALEZ UBEIMAR DE JESUS</t>
  </si>
  <si>
    <t>VASQUEZ RAMOS JOSE LUIS</t>
  </si>
  <si>
    <t>CUESTA TORRES DAYAN ANDRES</t>
  </si>
  <si>
    <t>ALEAN BALTAZAR JOSE LUIS</t>
  </si>
  <si>
    <t>RICO MEZA CHARLIS ISAAC</t>
  </si>
  <si>
    <t>RODRIGUEZ ORTIGOSA KEINER ANDRES</t>
  </si>
  <si>
    <t>DIAZ SALGE JAIFRAN</t>
  </si>
  <si>
    <t>MONTOYA MEJIA CARLOS ALBERTO</t>
  </si>
  <si>
    <t>LONDOÑO CARTAGENA OSCAR MAURICIO</t>
  </si>
  <si>
    <t>CORREA REYES JUAN JOSE</t>
  </si>
  <si>
    <t>PEÑAFIEL PEÑAFIEL ARGELIO MANUEL</t>
  </si>
  <si>
    <t>ARREDONDO TASCON JAIRO DE JESUS</t>
  </si>
  <si>
    <t>014</t>
  </si>
  <si>
    <t>MORENO QUINTO FRANCISCO JAVIER</t>
  </si>
  <si>
    <t>RUIZ PUERTA SEBASTIAN</t>
  </si>
  <si>
    <t>ORREGO DIEGO ALEXANDER</t>
  </si>
  <si>
    <t>MEDRANO CABEZA JOSE LUIS</t>
  </si>
  <si>
    <t>SANCHEZ PEREZ JUAN DAVID</t>
  </si>
  <si>
    <t>COSSIO BERMUDEZ DANIEL</t>
  </si>
  <si>
    <t>FUERTES JIMENEZ JOHN BAIRON</t>
  </si>
  <si>
    <t>GAVIRIA HEREDIA GIRLEY PATRICIA</t>
  </si>
  <si>
    <t>ROMERO HERNANDEZ MANUEL FRANCISCO</t>
  </si>
  <si>
    <t>SANTOS BUSTAMANTE OROSMAN JOSE</t>
  </si>
  <si>
    <t>ARANGO ARENAS EDUAR DE JESUS</t>
  </si>
  <si>
    <t>CORREA HERNANDEZ RAFAEL JOSE</t>
  </si>
  <si>
    <t>RIVAS CORRALES LUIS FERNANDO</t>
  </si>
  <si>
    <t>ARRIETA MUÑOZ CARLOS ANDRES</t>
  </si>
  <si>
    <t>SALAZAR ANAYA ANDRES DE JESUS</t>
  </si>
  <si>
    <t>4.0</t>
  </si>
  <si>
    <t>MERCADO TEHERAN EIDER DE JESUS</t>
  </si>
  <si>
    <t>PEREZ SIERRA MARLON ENRIQUE</t>
  </si>
  <si>
    <t>DE HOYOS CORONADO RAFAEL ENRIQUE</t>
  </si>
  <si>
    <t>IBAÑEZ CARRASCAL CARLOS DANIEL</t>
  </si>
  <si>
    <t>SOTO PETRO ALVARO JAVIER</t>
  </si>
  <si>
    <t>ROMERO RAMOS HUBERNEY ALBERTO</t>
  </si>
  <si>
    <t>MOSQUERA PALOMO DARWIN ANDRES</t>
  </si>
  <si>
    <t>YOTAGRI  SUAREZ YORMAN ANDRES</t>
  </si>
  <si>
    <t>RAMIREZ HERNANDEZ LEIDER ORLANDO</t>
  </si>
  <si>
    <t>RUIZ MENDOZA BROON STIK</t>
  </si>
  <si>
    <t>BERRIO URBIÑEZ JADER</t>
  </si>
  <si>
    <t>CORDOBA MARTINEZ JUAN ESTEBAN</t>
  </si>
  <si>
    <t>SERNA URANGO ELVIS ANDRES</t>
  </si>
  <si>
    <t>ARRIETA CAMPO SALVADOR SEGUNDO</t>
  </si>
  <si>
    <t>LOPEZ MEJIA OSMAN</t>
  </si>
  <si>
    <t>ALEANS ARGUMEDO CARLOS DANILO</t>
  </si>
  <si>
    <t>JARAMILLO GARCES LUIS JAVIER</t>
  </si>
  <si>
    <t>3.0</t>
  </si>
  <si>
    <t>MONTES RENTERIA JORGE LUIS</t>
  </si>
  <si>
    <t>HERNANDEZ GOMEZ KEVIN ALFREDO</t>
  </si>
  <si>
    <t>FERREIRA PAEZ ALDAIR DAVID</t>
  </si>
  <si>
    <t>2.30</t>
  </si>
  <si>
    <t>6.0</t>
  </si>
  <si>
    <t>PALENCIA PATIÑO CESAR AUGUSTO</t>
  </si>
  <si>
    <t>ROMERO DUQUE CAMILO ANDRES</t>
  </si>
  <si>
    <t>LOPEZ CUELLO WILLIAM ANDRES</t>
  </si>
  <si>
    <t>VALENCIA SILGADO JUAN DAVID</t>
  </si>
  <si>
    <t>GUTIERREZ CALVO LEONARDO</t>
  </si>
  <si>
    <t>BARRERA CORREA LINA GRACIELA</t>
  </si>
  <si>
    <t>5.30</t>
  </si>
  <si>
    <t>SANCHEZ ARTEAGA ROBINSO JOSE</t>
  </si>
  <si>
    <t>OPERARIO MAQUINARIA</t>
  </si>
  <si>
    <t>1.30</t>
  </si>
  <si>
    <t>0.30</t>
  </si>
  <si>
    <t>3.30</t>
  </si>
  <si>
    <t>PALACIOS PALACIOS FLORINDO</t>
  </si>
  <si>
    <t>MURILLO VASCO BRAYAN CAMILO</t>
  </si>
  <si>
    <t>LOPEZ BANQUET JUAN CARLOS</t>
  </si>
  <si>
    <t>CORTES CASTRO LEIDER JOSE</t>
  </si>
  <si>
    <t>VELEZ PEREZ CARLOS ALBERTO</t>
  </si>
  <si>
    <t>2.50</t>
  </si>
  <si>
    <t>3.50</t>
  </si>
  <si>
    <t>4.30</t>
  </si>
  <si>
    <t>0.40</t>
  </si>
  <si>
    <t>2.05</t>
  </si>
  <si>
    <t>1.45</t>
  </si>
  <si>
    <t>MUÑOZ SALCEDO KELLY MARLYN</t>
  </si>
  <si>
    <t>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</si>
</sst>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3" formatCode="_-* #,##0.00_-;\-* #,##0.00_-;_-* &quot;-&quot;??_-;_-@_-"/>
    <numFmt numFmtId="164" formatCode="_ * #,##0_ ;_ * \-#,##0_ ;_ * &quot;-&quot;_ ;_ @_ "/>
    <numFmt numFmtId="165" formatCode="[$-F800]dddd\,\ mmmm\ dd\,\ yyyy"/>
    <numFmt numFmtId="166" formatCode="[h]:mm"/>
    <numFmt numFmtId="167" formatCode="_ * #,##0.0_ ;_ * \-#,##0.0_ ;_ * &quot;-&quot;_ ;_ @_ "/>
    <numFmt numFmtId="168" formatCode="_-* #,##0_-;\-* #,##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Franklin Gothic Book"/>
      <family val="2"/>
    </font>
    <font>
      <b/>
      <sz val="10"/>
      <color theme="1"/>
      <name val="Franklin Gothic Book"/>
      <family val="2"/>
    </font>
    <font>
      <b/>
      <sz val="12"/>
      <color theme="1"/>
      <name val="Arial"/>
      <family val="2"/>
    </font>
    <font>
      <sz val="11"/>
      <color rgb="FFFF0000"/>
      <name val="Arial"/>
      <family val="2"/>
    </font>
    <font>
      <b/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Franklin Gothic Book"/>
      <family val="2"/>
    </font>
    <font>
      <b/>
      <sz val="1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87">
    <xf numFmtId="0" fontId="0" fillId="0" borderId="0" xfId="0"/>
    <xf numFmtId="0" fontId="6" fillId="2" borderId="2" xfId="0" applyFont="1" applyFill="1" applyBorder="1" applyAlignment="1" applyProtection="1">
      <alignment horizontal="center" vertical="center"/>
      <protection locked="0"/>
    </xf>
    <xf numFmtId="0" fontId="6" fillId="2" borderId="1" xfId="0" applyFont="1" applyFill="1" applyBorder="1" applyAlignment="1" applyProtection="1">
      <alignment horizontal="center" vertical="center"/>
      <protection locked="0"/>
    </xf>
    <xf numFmtId="165" fontId="10" fillId="3" borderId="13" xfId="0" applyNumberFormat="1" applyFont="1" applyFill="1" applyBorder="1" applyAlignment="1" applyProtection="1">
      <alignment horizontal="center" vertical="center"/>
      <protection locked="0"/>
    </xf>
    <xf numFmtId="49" fontId="13" fillId="5" borderId="2" xfId="0" applyNumberFormat="1" applyFont="1" applyFill="1" applyBorder="1" applyAlignment="1" applyProtection="1">
      <alignment horizontal="center"/>
      <protection locked="0"/>
    </xf>
    <xf numFmtId="49" fontId="13" fillId="5" borderId="1" xfId="0" applyNumberFormat="1" applyFont="1" applyFill="1" applyBorder="1" applyAlignment="1" applyProtection="1">
      <alignment horizontal="center"/>
      <protection locked="0"/>
    </xf>
    <xf numFmtId="49" fontId="13" fillId="5" borderId="10" xfId="0" applyNumberFormat="1" applyFont="1" applyFill="1" applyBorder="1" applyAlignment="1" applyProtection="1">
      <alignment horizontal="center"/>
      <protection locked="0"/>
    </xf>
    <xf numFmtId="20" fontId="10" fillId="0" borderId="1" xfId="0" applyNumberFormat="1" applyFont="1" applyBorder="1" applyAlignment="1" applyProtection="1">
      <alignment horizontal="left" vertical="center"/>
      <protection locked="0"/>
    </xf>
    <xf numFmtId="16" fontId="13" fillId="5" borderId="15" xfId="0" applyNumberFormat="1" applyFont="1" applyFill="1" applyBorder="1" applyAlignment="1" applyProtection="1">
      <alignment vertical="center" wrapText="1"/>
      <protection locked="0"/>
    </xf>
    <xf numFmtId="16" fontId="13" fillId="5" borderId="16" xfId="0" applyNumberFormat="1" applyFont="1" applyFill="1" applyBorder="1" applyAlignment="1" applyProtection="1">
      <alignment vertical="center" wrapText="1"/>
      <protection locked="0"/>
    </xf>
    <xf numFmtId="165" fontId="11" fillId="0" borderId="0" xfId="0" applyNumberFormat="1" applyFont="1" applyAlignment="1" applyProtection="1">
      <alignment vertical="center"/>
      <protection locked="0"/>
    </xf>
    <xf numFmtId="165" fontId="10" fillId="0" borderId="0" xfId="0" applyNumberFormat="1" applyFont="1" applyAlignment="1" applyProtection="1">
      <alignment vertical="center"/>
      <protection locked="0"/>
    </xf>
    <xf numFmtId="0" fontId="12" fillId="2" borderId="15" xfId="0" applyFont="1" applyFill="1" applyBorder="1" applyAlignment="1" applyProtection="1">
      <alignment horizontal="center" vertical="center" wrapText="1"/>
      <protection locked="0"/>
    </xf>
    <xf numFmtId="0" fontId="12" fillId="2" borderId="6" xfId="0" applyFont="1" applyFill="1" applyBorder="1" applyAlignment="1" applyProtection="1">
      <alignment horizontal="center" vertical="center" wrapText="1"/>
      <protection locked="0"/>
    </xf>
    <xf numFmtId="0" fontId="12" fillId="2" borderId="13" xfId="0" applyFont="1" applyFill="1" applyBorder="1" applyAlignment="1" applyProtection="1">
      <alignment vertical="center" wrapText="1"/>
      <protection locked="0"/>
    </xf>
    <xf numFmtId="0" fontId="12" fillId="4" borderId="13" xfId="0" applyFont="1" applyFill="1" applyBorder="1" applyAlignment="1" applyProtection="1">
      <alignment vertical="center" wrapText="1"/>
      <protection locked="0"/>
    </xf>
    <xf numFmtId="49" fontId="13" fillId="5" borderId="5" xfId="0" applyNumberFormat="1" applyFont="1" applyFill="1" applyBorder="1" applyAlignment="1" applyProtection="1">
      <alignment vertical="center" wrapText="1"/>
      <protection locked="0"/>
    </xf>
    <xf numFmtId="0" fontId="6" fillId="6" borderId="1" xfId="0" applyFont="1" applyFill="1" applyBorder="1" applyAlignment="1" applyProtection="1">
      <alignment horizontal="center" vertical="center" wrapText="1"/>
      <protection locked="0"/>
    </xf>
    <xf numFmtId="0" fontId="4" fillId="0" borderId="10" xfId="0" applyFont="1" applyBorder="1" applyAlignment="1" applyProtection="1">
      <alignment vertical="center" wrapText="1"/>
      <protection locked="0"/>
    </xf>
    <xf numFmtId="0" fontId="4" fillId="0" borderId="11" xfId="0" applyFont="1" applyBorder="1" applyAlignment="1" applyProtection="1">
      <alignment vertical="center" wrapText="1"/>
      <protection locked="0"/>
    </xf>
    <xf numFmtId="0" fontId="4" fillId="0" borderId="12" xfId="0" applyFont="1" applyBorder="1" applyAlignment="1" applyProtection="1">
      <alignment vertical="center" wrapText="1"/>
      <protection locked="0"/>
    </xf>
    <xf numFmtId="14" fontId="4" fillId="0" borderId="11" xfId="0" applyNumberFormat="1" applyFont="1" applyBorder="1" applyAlignment="1" applyProtection="1">
      <alignment horizontal="center" vertical="center" wrapText="1"/>
      <protection locked="0"/>
    </xf>
    <xf numFmtId="0" fontId="6" fillId="4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vertical="center"/>
      <protection locked="0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2" xfId="0" applyBorder="1" applyProtection="1">
      <protection locked="0"/>
    </xf>
    <xf numFmtId="0" fontId="7" fillId="0" borderId="0" xfId="0" applyFont="1" applyProtection="1">
      <protection locked="0"/>
    </xf>
    <xf numFmtId="14" fontId="0" fillId="0" borderId="0" xfId="0" applyNumberFormat="1" applyProtection="1">
      <protection locked="0"/>
    </xf>
    <xf numFmtId="20" fontId="0" fillId="0" borderId="0" xfId="0" applyNumberFormat="1" applyProtection="1">
      <protection locked="0"/>
    </xf>
    <xf numFmtId="14" fontId="0" fillId="0" borderId="0" xfId="0" applyNumberFormat="1"/>
    <xf numFmtId="20" fontId="0" fillId="0" borderId="0" xfId="0" applyNumberFormat="1"/>
    <xf numFmtId="49" fontId="0" fillId="0" borderId="0" xfId="0" applyNumberFormat="1"/>
    <xf numFmtId="0" fontId="17" fillId="4" borderId="0" xfId="0" applyFont="1" applyFill="1"/>
    <xf numFmtId="20" fontId="8" fillId="0" borderId="1" xfId="0" applyNumberFormat="1" applyFont="1" applyBorder="1" applyAlignment="1" applyProtection="1">
      <alignment horizontal="center" vertical="center"/>
      <protection locked="0"/>
    </xf>
    <xf numFmtId="49" fontId="9" fillId="0" borderId="1" xfId="0" applyNumberFormat="1" applyFont="1" applyBorder="1" applyAlignment="1" applyProtection="1">
      <alignment vertical="center" wrapText="1"/>
      <protection locked="0"/>
    </xf>
    <xf numFmtId="1" fontId="9" fillId="0" borderId="1" xfId="0" applyNumberFormat="1" applyFont="1" applyBorder="1" applyAlignment="1" applyProtection="1">
      <alignment vertical="center" wrapText="1"/>
      <protection locked="0"/>
    </xf>
    <xf numFmtId="164" fontId="8" fillId="0" borderId="1" xfId="1" applyFont="1" applyFill="1" applyBorder="1" applyAlignment="1" applyProtection="1">
      <alignment vertical="center"/>
      <protection locked="0"/>
    </xf>
    <xf numFmtId="166" fontId="12" fillId="0" borderId="1" xfId="0" applyNumberFormat="1" applyFont="1" applyBorder="1" applyAlignment="1" applyProtection="1">
      <alignment horizontal="center" vertical="center"/>
      <protection locked="0"/>
    </xf>
    <xf numFmtId="20" fontId="12" fillId="0" borderId="1" xfId="0" applyNumberFormat="1" applyFont="1" applyBorder="1" applyAlignment="1" applyProtection="1">
      <alignment horizontal="center" vertical="center"/>
      <protection locked="0"/>
    </xf>
    <xf numFmtId="20" fontId="12" fillId="0" borderId="1" xfId="0" applyNumberFormat="1" applyFont="1" applyBorder="1" applyAlignment="1" applyProtection="1">
      <alignment horizontal="left" vertical="center"/>
      <protection locked="0"/>
    </xf>
    <xf numFmtId="0" fontId="8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0" fillId="0" borderId="1" xfId="0" applyBorder="1"/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/>
      <protection locked="0"/>
    </xf>
    <xf numFmtId="166" fontId="10" fillId="0" borderId="1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6" fillId="0" borderId="19" xfId="0" applyFont="1" applyBorder="1" applyAlignment="1" applyProtection="1">
      <alignment horizontal="center" vertical="center" wrapText="1"/>
      <protection locked="0"/>
    </xf>
    <xf numFmtId="0" fontId="19" fillId="0" borderId="0" xfId="0" applyFont="1"/>
    <xf numFmtId="1" fontId="0" fillId="0" borderId="0" xfId="0" applyNumberFormat="1"/>
    <xf numFmtId="20" fontId="8" fillId="0" borderId="1" xfId="0" applyNumberFormat="1" applyFont="1" applyBorder="1" applyAlignment="1" applyProtection="1">
      <alignment vertical="center"/>
      <protection locked="0"/>
    </xf>
    <xf numFmtId="14" fontId="8" fillId="0" borderId="1" xfId="0" applyNumberFormat="1" applyFont="1" applyBorder="1" applyAlignment="1" applyProtection="1">
      <alignment vertical="center"/>
      <protection locked="0"/>
    </xf>
    <xf numFmtId="49" fontId="0" fillId="0" borderId="1" xfId="0" applyNumberFormat="1" applyBorder="1" applyProtection="1">
      <protection locked="0"/>
    </xf>
    <xf numFmtId="0" fontId="8" fillId="0" borderId="5" xfId="0" applyFont="1" applyBorder="1" applyAlignment="1" applyProtection="1">
      <alignment horizontal="left" vertical="center"/>
      <protection locked="0"/>
    </xf>
    <xf numFmtId="20" fontId="12" fillId="0" borderId="5" xfId="0" applyNumberFormat="1" applyFont="1" applyBorder="1" applyAlignment="1" applyProtection="1">
      <alignment horizontal="left" vertical="center"/>
      <protection locked="0"/>
    </xf>
    <xf numFmtId="0" fontId="8" fillId="0" borderId="20" xfId="0" applyFont="1" applyBorder="1" applyAlignment="1" applyProtection="1">
      <alignment horizontal="left" vertical="center"/>
      <protection locked="0"/>
    </xf>
    <xf numFmtId="20" fontId="12" fillId="0" borderId="20" xfId="0" applyNumberFormat="1" applyFont="1" applyBorder="1" applyAlignment="1" applyProtection="1">
      <alignment horizontal="left" vertical="center"/>
      <protection locked="0"/>
    </xf>
    <xf numFmtId="0" fontId="8" fillId="0" borderId="5" xfId="0" applyFont="1" applyBorder="1" applyAlignment="1" applyProtection="1">
      <alignment vertical="center"/>
      <protection locked="0"/>
    </xf>
    <xf numFmtId="0" fontId="8" fillId="0" borderId="20" xfId="0" applyFont="1" applyBorder="1" applyAlignment="1" applyProtection="1">
      <alignment vertical="center"/>
      <protection locked="0"/>
    </xf>
    <xf numFmtId="166" fontId="12" fillId="0" borderId="20" xfId="0" applyNumberFormat="1" applyFont="1" applyBorder="1" applyAlignment="1" applyProtection="1">
      <alignment horizontal="center" vertical="center"/>
      <protection locked="0"/>
    </xf>
    <xf numFmtId="167" fontId="8" fillId="0" borderId="1" xfId="1" applyNumberFormat="1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164" fontId="0" fillId="0" borderId="0" xfId="1" applyFont="1" applyFill="1" applyAlignment="1" applyProtection="1">
      <alignment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20" xfId="0" applyFont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0" fillId="0" borderId="21" xfId="0" applyBorder="1"/>
    <xf numFmtId="166" fontId="12" fillId="0" borderId="0" xfId="0" applyNumberFormat="1" applyFont="1" applyAlignment="1" applyProtection="1">
      <alignment horizontal="center" vertical="center"/>
      <protection locked="0"/>
    </xf>
    <xf numFmtId="168" fontId="0" fillId="0" borderId="0" xfId="2" applyNumberFormat="1" applyFont="1"/>
    <xf numFmtId="166" fontId="12" fillId="4" borderId="1" xfId="0" applyNumberFormat="1" applyFont="1" applyFill="1" applyBorder="1" applyAlignment="1" applyProtection="1">
      <alignment horizontal="center" vertical="center"/>
      <protection locked="0"/>
    </xf>
    <xf numFmtId="49" fontId="9" fillId="0" borderId="0" xfId="0" applyNumberFormat="1" applyFont="1" applyAlignment="1" applyProtection="1">
      <alignment vertical="center" wrapText="1"/>
      <protection locked="0"/>
    </xf>
    <xf numFmtId="14" fontId="8" fillId="0" borderId="0" xfId="0" applyNumberFormat="1" applyFont="1" applyAlignment="1" applyProtection="1">
      <alignment vertical="center"/>
      <protection locked="0"/>
    </xf>
    <xf numFmtId="0" fontId="3" fillId="0" borderId="1" xfId="0" applyFont="1" applyBorder="1" applyAlignment="1" applyProtection="1">
      <alignment horizontal="center" vertical="center" wrapText="1"/>
      <protection locked="0"/>
    </xf>
    <xf numFmtId="0" fontId="5" fillId="0" borderId="10" xfId="0" applyFont="1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 wrapText="1"/>
      <protection locked="0"/>
    </xf>
    <xf numFmtId="0" fontId="2" fillId="0" borderId="8" xfId="0" applyFont="1" applyBorder="1" applyAlignment="1" applyProtection="1">
      <alignment horizontal="center" vertical="center" wrapText="1"/>
      <protection locked="0"/>
    </xf>
    <xf numFmtId="0" fontId="2" fillId="0" borderId="9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center" vertical="center"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locked="0"/>
    </xf>
    <xf numFmtId="165" fontId="10" fillId="3" borderId="17" xfId="0" applyNumberFormat="1" applyFont="1" applyFill="1" applyBorder="1" applyAlignment="1" applyProtection="1">
      <alignment horizontal="center" vertical="center"/>
      <protection locked="0"/>
    </xf>
    <xf numFmtId="165" fontId="10" fillId="3" borderId="18" xfId="0" applyNumberFormat="1" applyFont="1" applyFill="1" applyBorder="1" applyAlignment="1" applyProtection="1">
      <alignment horizontal="center" vertical="center"/>
      <protection locked="0"/>
    </xf>
    <xf numFmtId="0" fontId="0" fillId="7" borderId="1" xfId="0" applyFill="1" applyBorder="1"/>
    <xf numFmtId="0" fontId="20" fillId="0" borderId="0" xfId="0" applyFont="1"/>
  </cellXfs>
  <cellStyles count="3">
    <cellStyle name="Millares" xfId="2" builtinId="3"/>
    <cellStyle name="Millares [0]" xfId="1" builtinId="6"/>
    <cellStyle name="Normal" xfId="0" builtinId="0"/>
  </cellStyles>
  <dxfs count="1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theme="5" tint="0.59996337778862885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5" tint="0.59996337778862885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5" tint="0.59996337778862885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5" tint="0.59996337778862885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5" tint="0.59996337778862885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5" tint="0.59996337778862885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5" tint="0.59996337778862885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theme="5" tint="0.59996337778862885"/>
        </patternFill>
      </fill>
    </dxf>
    <dxf>
      <font>
        <b/>
        <i val="0"/>
        <color theme="1"/>
      </font>
      <fill>
        <patternFill>
          <bgColor rgb="FFFFFF00"/>
        </patternFill>
      </fill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122223</xdr:colOff>
      <xdr:row>1</xdr:row>
      <xdr:rowOff>0</xdr:rowOff>
    </xdr:from>
    <xdr:to>
      <xdr:col>2</xdr:col>
      <xdr:colOff>1206353</xdr:colOff>
      <xdr:row>3</xdr:row>
      <xdr:rowOff>123384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4347314-831B-4859-BBE7-E3DCD8894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223" y="1460685"/>
          <a:ext cx="2277930" cy="554126"/>
        </a:xfrm>
        <a:prstGeom prst="rect">
          <a:avLst/>
        </a:prstGeom>
      </xdr:spPr>
    </xdr:pic>
    <xdr:clientData/>
  </xdr:twoCellAnchor>
  <xdr:twoCellAnchor editAs="oneCell">
    <xdr:from>
      <xdr:col>15</xdr:col>
      <xdr:colOff>338666</xdr:colOff>
      <xdr:row>1</xdr:row>
      <xdr:rowOff>0</xdr:rowOff>
    </xdr:from>
    <xdr:to>
      <xdr:col>16</xdr:col>
      <xdr:colOff>89959</xdr:colOff>
      <xdr:row>4</xdr:row>
      <xdr:rowOff>34018</xdr:rowOff>
    </xdr:to>
    <xdr:pic macro="[0]!Guardar5">
      <xdr:nvPicPr>
        <xdr:cNvPr id="4" name="Gráfico 3" descr="Cronómetro">
          <a:extLst>
            <a:ext uri="{FF2B5EF4-FFF2-40B4-BE49-F238E27FC236}">
              <a16:creationId xmlns:a16="http://schemas.microsoft.com/office/drawing/2014/main" id="{FD4D3B5F-F65B-D32B-1902-68803E884E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346266" y="0"/>
          <a:ext cx="668867" cy="6688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AE1048576"/>
  <sheetViews>
    <sheetView showGridLines="0" zoomScale="70" zoomScaleNormal="70" workbookViewId="0">
      <pane ySplit="5" topLeftCell="A19" activePane="bottomLeft" state="frozen"/>
      <selection activeCell="A564" sqref="A564"/>
      <selection pane="bottomLeft" activeCell="K22" sqref="K22"/>
    </sheetView>
  </sheetViews>
  <sheetFormatPr baseColWidth="10" defaultColWidth="9.33203125" defaultRowHeight="18" customHeight="1" x14ac:dyDescent="0.3"/>
  <cols>
    <col min="1" max="1" width="5" style="24" customWidth="1"/>
    <col min="2" max="2" width="12.33203125" style="24" customWidth="1"/>
    <col min="3" max="3" width="30.88671875" style="24" customWidth="1"/>
    <col min="4" max="4" width="45.88671875" style="24" customWidth="1"/>
    <col min="5" max="5" width="19" style="24" customWidth="1"/>
    <col min="6" max="6" width="6.6640625" style="24" customWidth="1"/>
    <col min="7" max="7" width="11" style="24" bestFit="1" customWidth="1"/>
    <col min="8" max="8" width="13.6640625" style="24" bestFit="1" customWidth="1"/>
    <col min="9" max="9" width="25.109375" style="24" bestFit="1" customWidth="1"/>
    <col min="10" max="10" width="20.109375" style="24" bestFit="1" customWidth="1"/>
    <col min="11" max="11" width="21.44140625" style="24" bestFit="1" customWidth="1"/>
    <col min="12" max="12" width="12.88671875" style="24" bestFit="1" customWidth="1"/>
    <col min="13" max="13" width="12.6640625" style="24" bestFit="1" customWidth="1"/>
    <col min="14" max="14" width="12.44140625" style="24" bestFit="1" customWidth="1"/>
    <col min="15" max="15" width="9.109375" style="24" customWidth="1"/>
    <col min="16" max="16" width="13.5546875" style="24" bestFit="1" customWidth="1"/>
    <col min="17" max="17" width="11.44140625" style="24" bestFit="1" customWidth="1"/>
    <col min="18" max="18" width="10.88671875" style="24" customWidth="1"/>
    <col min="19" max="19" width="10" style="24" bestFit="1" customWidth="1"/>
    <col min="20" max="20" width="17.33203125" style="24" customWidth="1"/>
    <col min="21" max="21" width="11.44140625" style="24" customWidth="1"/>
    <col min="22" max="28" width="6.6640625" style="24" customWidth="1"/>
    <col min="29" max="29" width="35.6640625" style="24" customWidth="1"/>
    <col min="30" max="16384" width="9.33203125" style="24"/>
  </cols>
  <sheetData>
    <row r="2" spans="1:31" s="25" customFormat="1" x14ac:dyDescent="0.3">
      <c r="A2" s="77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9"/>
      <c r="O2" s="47"/>
      <c r="U2" s="10"/>
      <c r="V2" s="11"/>
      <c r="W2" s="11"/>
      <c r="X2" s="11"/>
      <c r="Y2" s="11"/>
      <c r="Z2" s="11"/>
      <c r="AA2" s="11"/>
      <c r="AB2" s="74" t="s">
        <v>37</v>
      </c>
      <c r="AC2" s="74"/>
    </row>
    <row r="3" spans="1:31" s="25" customFormat="1" ht="15" thickBot="1" x14ac:dyDescent="0.35">
      <c r="A3" s="80"/>
      <c r="B3" s="81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2"/>
      <c r="O3" s="47"/>
      <c r="U3" s="11"/>
      <c r="V3" s="11"/>
      <c r="W3" s="11"/>
      <c r="X3" s="11"/>
      <c r="Y3" s="11"/>
      <c r="Z3" s="11"/>
      <c r="AA3" s="11"/>
      <c r="AB3" s="74" t="s">
        <v>38</v>
      </c>
      <c r="AC3" s="74"/>
    </row>
    <row r="4" spans="1:31" s="25" customFormat="1" ht="16.2" thickBot="1" x14ac:dyDescent="0.35">
      <c r="A4" s="26"/>
      <c r="B4" s="18" t="s">
        <v>10</v>
      </c>
      <c r="C4" s="19"/>
      <c r="D4" s="21">
        <v>46154</v>
      </c>
      <c r="E4" s="19"/>
      <c r="F4" s="19"/>
      <c r="G4" s="19"/>
      <c r="H4" s="19"/>
      <c r="I4" s="20"/>
      <c r="J4" s="75" t="s">
        <v>21</v>
      </c>
      <c r="K4" s="76"/>
      <c r="L4" s="76"/>
      <c r="M4" s="76"/>
      <c r="N4" s="76"/>
      <c r="O4" s="48"/>
      <c r="P4" s="83">
        <v>0.20972222222222223</v>
      </c>
      <c r="Q4" s="84"/>
      <c r="R4" s="3" t="s">
        <v>32</v>
      </c>
      <c r="S4" s="83" t="s">
        <v>33</v>
      </c>
      <c r="T4" s="84"/>
      <c r="U4" s="24"/>
      <c r="V4" s="4" t="s">
        <v>4</v>
      </c>
      <c r="W4" s="5" t="s">
        <v>953</v>
      </c>
      <c r="X4" s="5" t="s">
        <v>16</v>
      </c>
      <c r="Y4" s="5" t="s">
        <v>15</v>
      </c>
      <c r="Z4" s="5" t="s">
        <v>23</v>
      </c>
      <c r="AA4" s="5" t="s">
        <v>24</v>
      </c>
      <c r="AB4" s="6" t="s">
        <v>9</v>
      </c>
      <c r="AC4" s="24"/>
    </row>
    <row r="5" spans="1:31" s="27" customFormat="1" ht="52.95" customHeight="1" x14ac:dyDescent="0.3">
      <c r="A5" s="1" t="s">
        <v>11</v>
      </c>
      <c r="B5" s="2" t="s">
        <v>17</v>
      </c>
      <c r="C5" s="2" t="s">
        <v>14</v>
      </c>
      <c r="D5" s="2"/>
      <c r="E5" s="17" t="s">
        <v>12</v>
      </c>
      <c r="F5" s="17" t="s">
        <v>1</v>
      </c>
      <c r="G5" s="17" t="s">
        <v>2</v>
      </c>
      <c r="H5" s="17" t="s">
        <v>3</v>
      </c>
      <c r="I5" s="17" t="s">
        <v>18</v>
      </c>
      <c r="J5" s="17" t="s">
        <v>19</v>
      </c>
      <c r="K5" s="22" t="s">
        <v>5</v>
      </c>
      <c r="L5" s="17" t="s">
        <v>6</v>
      </c>
      <c r="M5" s="17" t="s">
        <v>20</v>
      </c>
      <c r="N5" s="17" t="s">
        <v>8</v>
      </c>
      <c r="O5" s="49"/>
      <c r="P5" s="12" t="s">
        <v>39</v>
      </c>
      <c r="Q5" s="13" t="s">
        <v>41</v>
      </c>
      <c r="R5" s="14" t="s">
        <v>34</v>
      </c>
      <c r="S5" s="12" t="s">
        <v>42</v>
      </c>
      <c r="T5" s="13" t="s">
        <v>40</v>
      </c>
      <c r="U5" s="15" t="s">
        <v>35</v>
      </c>
      <c r="V5" s="8" t="s">
        <v>25</v>
      </c>
      <c r="W5" s="9" t="s">
        <v>26</v>
      </c>
      <c r="X5" s="8" t="s">
        <v>27</v>
      </c>
      <c r="Y5" s="8" t="s">
        <v>28</v>
      </c>
      <c r="Z5" s="8" t="s">
        <v>29</v>
      </c>
      <c r="AA5" s="8" t="s">
        <v>30</v>
      </c>
      <c r="AB5" s="8" t="s">
        <v>31</v>
      </c>
      <c r="AC5" s="16" t="s">
        <v>36</v>
      </c>
    </row>
    <row r="6" spans="1:31" s="63" customFormat="1" ht="24.9" customHeight="1" x14ac:dyDescent="0.3">
      <c r="A6" s="44">
        <v>1</v>
      </c>
      <c r="B6" s="41" t="str">
        <f>IF(E6&lt;&gt;"",INDEX(Datos!D:D,MATCH(TH!E6,Datos!A:A,0)),"")</f>
        <v>APARTADO</v>
      </c>
      <c r="C6" s="41" t="str">
        <f>IF(E6&lt;&gt;"",INDEX(Datos!C:C,MATCH(TH!E6,Datos!A:A,0)),"")</f>
        <v>OPERARIO RECOLECCION Y B.V</v>
      </c>
      <c r="D6" s="23" t="str">
        <f>IF(E6&lt;&gt;"",INDEX(Datos!B:B,MATCH(TH!E6,Datos!A:A,0)),"")</f>
        <v>JIMENEZ RIVAS MIGUEL OSNEIDER</v>
      </c>
      <c r="E6">
        <v>1040364416</v>
      </c>
      <c r="F6" s="35" t="s">
        <v>4</v>
      </c>
      <c r="G6" s="36">
        <v>2026</v>
      </c>
      <c r="H6" s="37">
        <v>9</v>
      </c>
      <c r="I6" s="52" t="s">
        <v>917</v>
      </c>
      <c r="J6" s="52" t="s">
        <v>528</v>
      </c>
      <c r="K6" s="53">
        <f>+D4</f>
        <v>46154</v>
      </c>
      <c r="L6" s="34" t="s">
        <v>7</v>
      </c>
      <c r="M6" s="38">
        <v>0.79166666666666663</v>
      </c>
      <c r="N6" s="46">
        <v>0.99930555555555556</v>
      </c>
      <c r="O6" s="38">
        <f t="shared" ref="O6:O11" si="0">+N6-M6</f>
        <v>0.20763888888888893</v>
      </c>
      <c r="P6" s="38">
        <v>46154.791666666664</v>
      </c>
      <c r="Q6" s="38">
        <v>0</v>
      </c>
      <c r="R6" s="38">
        <v>1.3888888888888888E-2</v>
      </c>
      <c r="S6" s="38">
        <v>0</v>
      </c>
      <c r="T6" s="46">
        <v>46155.243055555555</v>
      </c>
      <c r="U6" s="38">
        <f t="shared" ref="U6:U37" si="1">(Q6-P6)+(T6-S6)-R6</f>
        <v>0.43750000000161687</v>
      </c>
      <c r="V6" s="39">
        <v>0.20833333333333334</v>
      </c>
      <c r="W6" s="39"/>
      <c r="X6" s="39"/>
      <c r="Y6" s="39"/>
      <c r="Z6" s="39"/>
      <c r="AA6" s="39"/>
      <c r="AB6" s="39"/>
      <c r="AC6" s="40"/>
      <c r="AE6" s="64"/>
    </row>
    <row r="7" spans="1:31" s="25" customFormat="1" ht="24.9" customHeight="1" x14ac:dyDescent="0.3">
      <c r="A7" s="45">
        <v>2</v>
      </c>
      <c r="B7" s="41" t="str">
        <f>IF(E7&lt;&gt;"",INDEX(Datos!D:D,MATCH(TH!E7,Datos!A:A,0)),"")</f>
        <v>APARTADO</v>
      </c>
      <c r="C7" s="41" t="str">
        <f>IF(E7&lt;&gt;"",INDEX(Datos!C:C,MATCH(TH!E7,Datos!A:A,0)),"")</f>
        <v>OPERARIO RECOLECCION Y B.V</v>
      </c>
      <c r="D7" s="23" t="str">
        <f>IF(E7&lt;&gt;"",INDEX(Datos!B:B,MATCH(TH!E7,Datos!A:A,0)),"")</f>
        <v>JIMENEZ RIVAS MIGUEL OSNEIDER</v>
      </c>
      <c r="E7">
        <v>1040364416</v>
      </c>
      <c r="F7" s="35" t="s">
        <v>4</v>
      </c>
      <c r="G7" s="36">
        <v>2026</v>
      </c>
      <c r="H7" s="37">
        <v>9</v>
      </c>
      <c r="I7" s="52" t="s">
        <v>987</v>
      </c>
      <c r="J7" s="52" t="s">
        <v>528</v>
      </c>
      <c r="K7" s="53">
        <v>46155</v>
      </c>
      <c r="L7" s="34" t="s">
        <v>7</v>
      </c>
      <c r="M7" s="38">
        <v>0</v>
      </c>
      <c r="N7" s="46">
        <v>0.125</v>
      </c>
      <c r="O7" s="38">
        <f t="shared" si="0"/>
        <v>0.125</v>
      </c>
      <c r="P7" s="38">
        <v>46154.791666666664</v>
      </c>
      <c r="Q7" s="38">
        <v>0</v>
      </c>
      <c r="R7" s="38">
        <v>1.3888888888888888E-2</v>
      </c>
      <c r="S7" s="38">
        <v>0</v>
      </c>
      <c r="T7" s="46">
        <v>46155.243055555555</v>
      </c>
      <c r="U7" s="38">
        <f t="shared" si="1"/>
        <v>0.43750000000161687</v>
      </c>
      <c r="V7" s="39">
        <v>0.125</v>
      </c>
      <c r="W7" s="39"/>
      <c r="X7" s="39"/>
      <c r="Y7" s="39"/>
      <c r="Z7" s="39"/>
      <c r="AA7" s="39"/>
      <c r="AB7" s="39"/>
      <c r="AC7" s="40"/>
    </row>
    <row r="8" spans="1:31" s="25" customFormat="1" ht="24" customHeight="1" x14ac:dyDescent="0.3">
      <c r="A8" s="45">
        <v>3</v>
      </c>
      <c r="B8" s="41" t="str">
        <f>IF(E8&lt;&gt;"",INDEX(Datos!D:D,MATCH(TH!E8,Datos!A:A,0)),"")</f>
        <v>APARTADO</v>
      </c>
      <c r="C8" s="41" t="str">
        <f>IF(E8&lt;&gt;"",INDEX(Datos!C:C,MATCH(TH!E8,Datos!A:A,0)),"")</f>
        <v>OPERARIO RECOLECCION Y B.V</v>
      </c>
      <c r="D8" s="23" t="str">
        <f>IF(E8&lt;&gt;"",INDEX(Datos!B:B,MATCH(TH!E8,Datos!A:A,0)),"")</f>
        <v>JIMENEZ RIVAS MIGUEL OSNEIDER</v>
      </c>
      <c r="E8">
        <v>1040364416</v>
      </c>
      <c r="F8" s="35" t="s">
        <v>23</v>
      </c>
      <c r="G8" s="36">
        <v>2026</v>
      </c>
      <c r="H8" s="37">
        <v>9</v>
      </c>
      <c r="I8" s="52" t="s">
        <v>1010</v>
      </c>
      <c r="J8" s="52" t="s">
        <v>528</v>
      </c>
      <c r="K8" s="53">
        <v>46155</v>
      </c>
      <c r="L8" s="34" t="s">
        <v>7</v>
      </c>
      <c r="M8" s="38">
        <v>0.12569444444444444</v>
      </c>
      <c r="N8" s="46">
        <v>0.24305555555555555</v>
      </c>
      <c r="O8" s="38">
        <f t="shared" si="0"/>
        <v>0.11736111111111111</v>
      </c>
      <c r="P8" s="38">
        <v>46154.791666666664</v>
      </c>
      <c r="Q8" s="38">
        <v>0</v>
      </c>
      <c r="R8" s="38">
        <v>1.3888888888888888E-2</v>
      </c>
      <c r="S8" s="38">
        <v>0</v>
      </c>
      <c r="T8" s="46">
        <v>46155.243055555555</v>
      </c>
      <c r="U8" s="38">
        <f t="shared" si="1"/>
        <v>0.43750000000161687</v>
      </c>
      <c r="V8" s="39"/>
      <c r="W8" s="39"/>
      <c r="X8" s="39"/>
      <c r="Y8" s="39"/>
      <c r="Z8" s="39">
        <v>0.11805555555555557</v>
      </c>
      <c r="AA8" s="39"/>
      <c r="AB8" s="39"/>
      <c r="AC8" s="40"/>
    </row>
    <row r="9" spans="1:31" s="25" customFormat="1" ht="24.9" customHeight="1" x14ac:dyDescent="0.3">
      <c r="A9" s="44">
        <v>5</v>
      </c>
      <c r="B9" s="41" t="str">
        <f>IF(E9&lt;&gt;"",INDEX(Datos!D:D,MATCH(TH!E9,Datos!A:A,0)),"")</f>
        <v>TALLER</v>
      </c>
      <c r="C9" s="41" t="str">
        <f>IF(E9&lt;&gt;"",INDEX(Datos!C:C,MATCH(TH!E9,Datos!A:A,0)),"")</f>
        <v>OFICIOS VARIOS</v>
      </c>
      <c r="D9" s="23" t="str">
        <f>IF(E9&lt;&gt;"",INDEX(Datos!B:B,MATCH(TH!E9,Datos!A:A,0)),"")</f>
        <v>MARIN LONDOﾑO  JESUS MARIA</v>
      </c>
      <c r="E9">
        <v>71946681</v>
      </c>
      <c r="F9" s="35" t="s">
        <v>4</v>
      </c>
      <c r="G9" s="36">
        <v>2026</v>
      </c>
      <c r="H9" s="37">
        <v>9</v>
      </c>
      <c r="I9" s="52" t="s">
        <v>917</v>
      </c>
      <c r="J9" s="52" t="s">
        <v>528</v>
      </c>
      <c r="K9" s="53">
        <v>46154</v>
      </c>
      <c r="L9" s="34" t="s">
        <v>7</v>
      </c>
      <c r="M9" s="38">
        <v>0.79166666666666663</v>
      </c>
      <c r="N9" s="46">
        <v>0.99930555555555556</v>
      </c>
      <c r="O9" s="38">
        <f t="shared" si="0"/>
        <v>0.20763888888888893</v>
      </c>
      <c r="P9" s="38">
        <v>46154.729166666664</v>
      </c>
      <c r="Q9" s="38">
        <v>0</v>
      </c>
      <c r="R9" s="38">
        <v>1.3888888888888888E-2</v>
      </c>
      <c r="S9" s="38">
        <v>0</v>
      </c>
      <c r="T9" s="46">
        <v>46155.222222222219</v>
      </c>
      <c r="U9" s="38">
        <f t="shared" si="1"/>
        <v>0.47916666666585822</v>
      </c>
      <c r="V9" s="39">
        <v>0.20833333333333334</v>
      </c>
      <c r="W9" s="39"/>
      <c r="X9" s="39"/>
      <c r="Y9" s="39"/>
      <c r="Z9" s="39"/>
      <c r="AA9" s="39"/>
      <c r="AB9" s="39"/>
      <c r="AC9" s="40"/>
    </row>
    <row r="10" spans="1:31" s="25" customFormat="1" ht="24.9" customHeight="1" x14ac:dyDescent="0.3">
      <c r="A10" s="44">
        <v>6</v>
      </c>
      <c r="B10" s="41" t="str">
        <f>IF(E10&lt;&gt;"",INDEX(Datos!D:D,MATCH(TH!E10,Datos!A:A,0)),"")</f>
        <v>TALLER</v>
      </c>
      <c r="C10" s="41" t="str">
        <f>IF(E10&lt;&gt;"",INDEX(Datos!C:C,MATCH(TH!E10,Datos!A:A,0)),"")</f>
        <v>OFICIOS VARIOS</v>
      </c>
      <c r="D10" s="23" t="str">
        <f>IF(E10&lt;&gt;"",INDEX(Datos!B:B,MATCH(TH!E10,Datos!A:A,0)),"")</f>
        <v>MARIN LONDOﾑO  JESUS MARIA</v>
      </c>
      <c r="E10">
        <v>71946681</v>
      </c>
      <c r="F10" s="35" t="s">
        <v>4</v>
      </c>
      <c r="G10" s="36">
        <v>2026</v>
      </c>
      <c r="H10" s="37">
        <v>9</v>
      </c>
      <c r="I10" s="52" t="s">
        <v>1002</v>
      </c>
      <c r="J10" s="52" t="s">
        <v>528</v>
      </c>
      <c r="K10" s="53">
        <v>46155</v>
      </c>
      <c r="L10" s="34" t="s">
        <v>7</v>
      </c>
      <c r="M10" s="38">
        <v>0</v>
      </c>
      <c r="N10" s="46">
        <v>6.25E-2</v>
      </c>
      <c r="O10" s="38">
        <f t="shared" si="0"/>
        <v>6.25E-2</v>
      </c>
      <c r="P10" s="38">
        <v>46154.729166666664</v>
      </c>
      <c r="Q10" s="38">
        <v>0</v>
      </c>
      <c r="R10" s="38">
        <v>1.3888888888888888E-2</v>
      </c>
      <c r="S10" s="38">
        <v>0</v>
      </c>
      <c r="T10" s="46">
        <v>46155.222222222219</v>
      </c>
      <c r="U10" s="38">
        <f t="shared" ref="U10:U16" si="2">(Q10-P10)+(T10-S10)-R10</f>
        <v>0.47916666666585822</v>
      </c>
      <c r="V10" s="39">
        <v>6.25E-2</v>
      </c>
      <c r="W10" s="39"/>
      <c r="X10" s="39"/>
      <c r="Y10" s="39"/>
      <c r="Z10" s="39"/>
      <c r="AA10" s="39"/>
      <c r="AB10" s="39"/>
      <c r="AC10" s="40"/>
    </row>
    <row r="11" spans="1:31" s="25" customFormat="1" ht="25.5" customHeight="1" x14ac:dyDescent="0.3">
      <c r="A11" s="45">
        <v>7</v>
      </c>
      <c r="B11" s="41" t="str">
        <f>IF(E11&lt;&gt;"",INDEX(Datos!D:D,MATCH(TH!E11,Datos!A:A,0)),"")</f>
        <v>TALLER</v>
      </c>
      <c r="C11" s="41" t="str">
        <f>IF(E11&lt;&gt;"",INDEX(Datos!C:C,MATCH(TH!E11,Datos!A:A,0)),"")</f>
        <v>OFICIOS VARIOS</v>
      </c>
      <c r="D11" s="23" t="str">
        <f>IF(E11&lt;&gt;"",INDEX(Datos!B:B,MATCH(TH!E11,Datos!A:A,0)),"")</f>
        <v>MARIN LONDOﾑO  JESUS MARIA</v>
      </c>
      <c r="E11">
        <v>71946681</v>
      </c>
      <c r="F11" s="35" t="s">
        <v>23</v>
      </c>
      <c r="G11" s="36">
        <v>2026</v>
      </c>
      <c r="H11" s="37">
        <v>9</v>
      </c>
      <c r="I11" s="52" t="s">
        <v>1011</v>
      </c>
      <c r="J11" s="52" t="s">
        <v>528</v>
      </c>
      <c r="K11" s="53">
        <v>46155</v>
      </c>
      <c r="L11" s="34" t="s">
        <v>7</v>
      </c>
      <c r="M11" s="38">
        <v>6.3194444444444442E-2</v>
      </c>
      <c r="N11" s="46">
        <v>0.22222222222222221</v>
      </c>
      <c r="O11" s="38">
        <f t="shared" si="0"/>
        <v>0.15902777777777777</v>
      </c>
      <c r="P11" s="38">
        <v>46154.729166666664</v>
      </c>
      <c r="Q11" s="38">
        <v>0</v>
      </c>
      <c r="R11" s="38">
        <v>1.3888888888888888E-2</v>
      </c>
      <c r="S11" s="38">
        <v>0</v>
      </c>
      <c r="T11" s="46">
        <v>46155.222222222219</v>
      </c>
      <c r="U11" s="38">
        <f t="shared" si="2"/>
        <v>0.47916666666585822</v>
      </c>
      <c r="V11" s="39"/>
      <c r="W11" s="39"/>
      <c r="X11" s="39"/>
      <c r="Y11" s="39"/>
      <c r="Z11" s="39">
        <v>0.15972222222222224</v>
      </c>
      <c r="AA11" s="39"/>
      <c r="AB11" s="39"/>
      <c r="AC11" s="40"/>
    </row>
    <row r="12" spans="1:31" s="25" customFormat="1" ht="24.9" customHeight="1" x14ac:dyDescent="0.3">
      <c r="A12" s="45">
        <v>7</v>
      </c>
      <c r="B12" s="41" t="str">
        <f>IF(E12&lt;&gt;"",INDEX(Datos!D:D,MATCH(TH!E12,Datos!A:A,0)),"")</f>
        <v>APARTADO</v>
      </c>
      <c r="C12" s="41" t="str">
        <f>IF(E12&lt;&gt;"",INDEX(Datos!C:C,MATCH(TH!E12,Datos!A:A,0)),"")</f>
        <v>CONDUCTOR</v>
      </c>
      <c r="D12" s="23" t="str">
        <f>IF(E12&lt;&gt;"",INDEX(Datos!B:B,MATCH(TH!E12,Datos!A:A,0)),"")</f>
        <v>ACEVEDO  CEBALLOS LIBARDO ANTONIO</v>
      </c>
      <c r="E12">
        <v>70220430</v>
      </c>
      <c r="F12" s="35" t="s">
        <v>15</v>
      </c>
      <c r="G12" s="36">
        <v>2026</v>
      </c>
      <c r="H12" s="37">
        <v>9</v>
      </c>
      <c r="I12" s="52" t="s">
        <v>868</v>
      </c>
      <c r="J12" s="52" t="s">
        <v>528</v>
      </c>
      <c r="K12" s="53">
        <v>46154</v>
      </c>
      <c r="L12" s="34" t="s">
        <v>7</v>
      </c>
      <c r="M12" s="38">
        <v>0.60416666666666663</v>
      </c>
      <c r="N12" s="46">
        <v>0.6875</v>
      </c>
      <c r="O12" s="38">
        <f t="shared" ref="O12:O72" si="3">+N12-M12</f>
        <v>8.333333333333337E-2</v>
      </c>
      <c r="P12" s="38">
        <v>0.25</v>
      </c>
      <c r="Q12" s="38">
        <v>0.5</v>
      </c>
      <c r="R12" s="38">
        <v>1.3888888888888888E-2</v>
      </c>
      <c r="S12" s="38">
        <v>0.52083333333333337</v>
      </c>
      <c r="T12" s="46">
        <v>0.6875</v>
      </c>
      <c r="U12" s="38">
        <f t="shared" si="2"/>
        <v>0.40277777777777773</v>
      </c>
      <c r="V12" s="39"/>
      <c r="W12" s="39"/>
      <c r="X12" s="39"/>
      <c r="Y12" s="39">
        <v>8.3333333333333329E-2</v>
      </c>
      <c r="Z12" s="39"/>
      <c r="AA12" s="39"/>
      <c r="AB12" s="39"/>
      <c r="AC12" s="40"/>
    </row>
    <row r="13" spans="1:31" s="25" customFormat="1" ht="24.9" customHeight="1" x14ac:dyDescent="0.3">
      <c r="A13" s="45">
        <v>9</v>
      </c>
      <c r="B13" s="41" t="str">
        <f>IF(E13&lt;&gt;"",INDEX(Datos!D:D,MATCH(TH!E13,Datos!A:A,0)),"")</f>
        <v>APARTADO</v>
      </c>
      <c r="C13" s="41" t="str">
        <f>IF(E13&lt;&gt;"",INDEX(Datos!C:C,MATCH(TH!E13,Datos!A:A,0)),"")</f>
        <v>CONDUCTOR</v>
      </c>
      <c r="D13" s="23" t="str">
        <f>IF(E13&lt;&gt;"",INDEX(Datos!B:B,MATCH(TH!E13,Datos!A:A,0)),"")</f>
        <v>VASQUEZ RAMOS JOSE LUIS</v>
      </c>
      <c r="E13">
        <v>1028013418</v>
      </c>
      <c r="F13" s="35" t="s">
        <v>15</v>
      </c>
      <c r="G13" s="36">
        <v>2026</v>
      </c>
      <c r="H13" s="37">
        <v>9</v>
      </c>
      <c r="I13" s="52" t="s">
        <v>1004</v>
      </c>
      <c r="J13" s="52" t="s">
        <v>528</v>
      </c>
      <c r="K13" s="53">
        <v>46154</v>
      </c>
      <c r="L13" s="34" t="s">
        <v>7</v>
      </c>
      <c r="M13" s="38">
        <v>0.60416666666666663</v>
      </c>
      <c r="N13" s="46">
        <v>0.75</v>
      </c>
      <c r="O13" s="38">
        <f>+N13-M13</f>
        <v>0.14583333333333337</v>
      </c>
      <c r="P13" s="38">
        <v>0.25</v>
      </c>
      <c r="Q13" s="38">
        <v>0.5</v>
      </c>
      <c r="R13" s="38">
        <v>1.3888888888888888E-2</v>
      </c>
      <c r="S13" s="38">
        <v>0.52083333333333337</v>
      </c>
      <c r="T13" s="46">
        <v>0.75</v>
      </c>
      <c r="U13" s="38">
        <f t="shared" si="2"/>
        <v>0.46527777777777773</v>
      </c>
      <c r="V13" s="39"/>
      <c r="W13" s="39"/>
      <c r="X13" s="39"/>
      <c r="Y13" s="39">
        <v>0.14583333333333334</v>
      </c>
      <c r="Z13" s="39"/>
      <c r="AA13" s="39"/>
      <c r="AB13" s="39"/>
      <c r="AC13" s="40"/>
    </row>
    <row r="14" spans="1:31" s="25" customFormat="1" ht="24.9" customHeight="1" x14ac:dyDescent="0.3">
      <c r="A14" s="45">
        <v>10</v>
      </c>
      <c r="B14" s="41" t="str">
        <f>IF(E14&lt;&gt;"",INDEX(Datos!D:D,MATCH(TH!E14,Datos!A:A,0)),"")</f>
        <v>APARTADO</v>
      </c>
      <c r="C14" s="41" t="str">
        <f>IF(E14&lt;&gt;"",INDEX(Datos!C:C,MATCH(TH!E14,Datos!A:A,0)),"")</f>
        <v>CONDUCTOR</v>
      </c>
      <c r="D14" s="23" t="str">
        <f>IF(E14&lt;&gt;"",INDEX(Datos!B:B,MATCH(TH!E14,Datos!A:A,0)),"")</f>
        <v>ZAPATA LOPEZ YORLY ANDRES</v>
      </c>
      <c r="E14">
        <v>1001248864</v>
      </c>
      <c r="F14" s="35" t="s">
        <v>15</v>
      </c>
      <c r="G14" s="36">
        <v>2026</v>
      </c>
      <c r="H14" s="37">
        <v>9</v>
      </c>
      <c r="I14" s="52" t="s">
        <v>969</v>
      </c>
      <c r="J14" s="52" t="s">
        <v>528</v>
      </c>
      <c r="K14" s="53">
        <v>46154</v>
      </c>
      <c r="L14" s="34" t="s">
        <v>7</v>
      </c>
      <c r="M14" s="38">
        <v>0.60416666666666663</v>
      </c>
      <c r="N14" s="46">
        <v>0.77083333333333337</v>
      </c>
      <c r="O14" s="38">
        <f>+N14-M14</f>
        <v>0.16666666666666674</v>
      </c>
      <c r="P14" s="38">
        <v>0.25</v>
      </c>
      <c r="Q14" s="38">
        <v>0.5</v>
      </c>
      <c r="R14" s="38">
        <v>1.3888888888888888E-2</v>
      </c>
      <c r="S14" s="38">
        <v>0.52083333333333337</v>
      </c>
      <c r="T14" s="46">
        <v>0.77083333333333337</v>
      </c>
      <c r="U14" s="38">
        <f t="shared" si="2"/>
        <v>0.4861111111111111</v>
      </c>
      <c r="V14" s="39"/>
      <c r="W14" s="39"/>
      <c r="X14" s="39"/>
      <c r="Y14" s="39">
        <v>0.16666666666666666</v>
      </c>
      <c r="Z14" s="39"/>
      <c r="AA14" s="39"/>
      <c r="AB14" s="39"/>
      <c r="AC14" s="40"/>
    </row>
    <row r="15" spans="1:31" s="25" customFormat="1" ht="24.9" customHeight="1" x14ac:dyDescent="0.3">
      <c r="A15" s="44">
        <v>11</v>
      </c>
      <c r="B15" s="41" t="str">
        <f>IF(E15&lt;&gt;"",INDEX(Datos!D:D,MATCH(TH!E15,Datos!A:A,0)),"")</f>
        <v>APARTADO</v>
      </c>
      <c r="C15" s="41" t="str">
        <f>IF(E15&lt;&gt;"",INDEX(Datos!C:C,MATCH(TH!E15,Datos!A:A,0)),"")</f>
        <v>CONDUCTOR</v>
      </c>
      <c r="D15" s="23" t="str">
        <f>IF(E15&lt;&gt;"",INDEX(Datos!B:B,MATCH(TH!E15,Datos!A:A,0)),"")</f>
        <v>MORENO QUINTO FRANCISCO JAVIER</v>
      </c>
      <c r="E15">
        <v>71948360</v>
      </c>
      <c r="F15" s="35" t="s">
        <v>15</v>
      </c>
      <c r="G15" s="36">
        <v>2026</v>
      </c>
      <c r="H15" s="37">
        <v>9</v>
      </c>
      <c r="I15" s="52" t="s">
        <v>987</v>
      </c>
      <c r="J15" s="52" t="s">
        <v>528</v>
      </c>
      <c r="K15" s="53">
        <v>46154</v>
      </c>
      <c r="L15" s="34" t="s">
        <v>7</v>
      </c>
      <c r="M15" s="38">
        <v>0.60416666666666663</v>
      </c>
      <c r="N15" s="46">
        <v>0.72916666666666663</v>
      </c>
      <c r="O15" s="38">
        <f>+N15-M15</f>
        <v>0.125</v>
      </c>
      <c r="P15" s="38">
        <v>0.25</v>
      </c>
      <c r="Q15" s="38">
        <v>0.5</v>
      </c>
      <c r="R15" s="38">
        <v>1.3888888888888888E-2</v>
      </c>
      <c r="S15" s="38">
        <v>0.52083333333333337</v>
      </c>
      <c r="T15" s="46">
        <v>0.72916666666666663</v>
      </c>
      <c r="U15" s="38">
        <f t="shared" si="2"/>
        <v>0.44444444444444436</v>
      </c>
      <c r="V15" s="39"/>
      <c r="W15" s="39"/>
      <c r="X15" s="39"/>
      <c r="Y15" s="39">
        <v>0.125</v>
      </c>
      <c r="Z15" s="39"/>
      <c r="AA15" s="39"/>
      <c r="AB15" s="39"/>
      <c r="AC15" s="40"/>
    </row>
    <row r="16" spans="1:31" s="25" customFormat="1" ht="24.9" customHeight="1" x14ac:dyDescent="0.3">
      <c r="A16" s="44">
        <v>12</v>
      </c>
      <c r="B16" s="41" t="str">
        <f>IF(E16&lt;&gt;"",INDEX(Datos!D:D,MATCH(TH!E16,Datos!A:A,0)),"")</f>
        <v>APARTADO</v>
      </c>
      <c r="C16" s="41" t="str">
        <f>IF(E16&lt;&gt;"",INDEX(Datos!C:C,MATCH(TH!E16,Datos!A:A,0)),"")</f>
        <v>CONDUCTOR</v>
      </c>
      <c r="D16" s="23" t="str">
        <f>IF(E16&lt;&gt;"",INDEX(Datos!B:B,MATCH(TH!E16,Datos!A:A,0)),"")</f>
        <v>HINCAPIE JUAN ARLEY</v>
      </c>
      <c r="E16">
        <v>3362230</v>
      </c>
      <c r="F16" s="35" t="s">
        <v>15</v>
      </c>
      <c r="G16" s="36">
        <v>2026</v>
      </c>
      <c r="H16" s="37">
        <v>9</v>
      </c>
      <c r="I16" s="52" t="s">
        <v>987</v>
      </c>
      <c r="J16" s="52" t="s">
        <v>528</v>
      </c>
      <c r="K16" s="53">
        <v>46154</v>
      </c>
      <c r="L16" s="34" t="s">
        <v>7</v>
      </c>
      <c r="M16" s="38">
        <v>0.60416666666666663</v>
      </c>
      <c r="N16" s="46">
        <v>0.72916666666666663</v>
      </c>
      <c r="O16" s="38">
        <f>+N16-M16</f>
        <v>0.125</v>
      </c>
      <c r="P16" s="38">
        <v>0.25</v>
      </c>
      <c r="Q16" s="38">
        <v>0.5</v>
      </c>
      <c r="R16" s="38">
        <v>1.3888888888888888E-2</v>
      </c>
      <c r="S16" s="38">
        <v>0.52083333333333337</v>
      </c>
      <c r="T16" s="46">
        <v>0.72916666666666663</v>
      </c>
      <c r="U16" s="71">
        <f t="shared" si="2"/>
        <v>0.44444444444444436</v>
      </c>
      <c r="V16" s="39"/>
      <c r="W16" s="39"/>
      <c r="X16" s="39"/>
      <c r="Y16" s="39">
        <v>0.125</v>
      </c>
      <c r="Z16" s="39"/>
      <c r="AA16" s="39"/>
      <c r="AB16" s="39"/>
      <c r="AC16" s="40"/>
    </row>
    <row r="17" spans="1:29" s="25" customFormat="1" ht="24.9" customHeight="1" x14ac:dyDescent="0.3">
      <c r="A17" s="45">
        <v>13</v>
      </c>
      <c r="B17" s="41" t="str">
        <f>IF(E17&lt;&gt;"",INDEX(Datos!D:D,MATCH(TH!E17,Datos!A:A,0)),"")</f>
        <v>APARTADO</v>
      </c>
      <c r="C17" s="41" t="str">
        <f>IF(E17&lt;&gt;"",INDEX(Datos!C:C,MATCH(TH!E17,Datos!A:A,0)),"")</f>
        <v>CONDUCTOR</v>
      </c>
      <c r="D17" s="23" t="str">
        <f>IF(E17&lt;&gt;"",INDEX(Datos!B:B,MATCH(TH!E17,Datos!A:A,0)),"")</f>
        <v>MENESES DURANGO CARLOS ANDRES</v>
      </c>
      <c r="E17">
        <v>1028019514</v>
      </c>
      <c r="F17" s="35" t="s">
        <v>15</v>
      </c>
      <c r="G17" s="36">
        <v>2026</v>
      </c>
      <c r="H17" s="37">
        <v>9</v>
      </c>
      <c r="I17" s="52" t="s">
        <v>1012</v>
      </c>
      <c r="J17" s="52" t="s">
        <v>528</v>
      </c>
      <c r="K17" s="53">
        <v>46154</v>
      </c>
      <c r="L17" s="34" t="s">
        <v>7</v>
      </c>
      <c r="M17" s="38">
        <v>0.60416666666666663</v>
      </c>
      <c r="N17" s="46">
        <v>0.79166666666666663</v>
      </c>
      <c r="O17" s="38">
        <f>+N17-M17</f>
        <v>0.1875</v>
      </c>
      <c r="P17" s="38">
        <v>0.25</v>
      </c>
      <c r="Q17" s="38">
        <v>0.5</v>
      </c>
      <c r="R17" s="38">
        <v>1.3888888888888888E-2</v>
      </c>
      <c r="S17" s="38">
        <v>0.52083333333333337</v>
      </c>
      <c r="T17" s="46">
        <v>0.85416666666666663</v>
      </c>
      <c r="U17" s="38">
        <f>(Q17-P17)+(T17-S17)-R17</f>
        <v>0.56944444444444442</v>
      </c>
      <c r="V17" s="39"/>
      <c r="W17" s="39"/>
      <c r="X17" s="39"/>
      <c r="Y17" s="39">
        <v>0.1875</v>
      </c>
      <c r="Z17" s="39"/>
      <c r="AA17" s="39"/>
      <c r="AB17" s="39"/>
      <c r="AC17" s="40"/>
    </row>
    <row r="18" spans="1:29" s="25" customFormat="1" ht="26.25" customHeight="1" x14ac:dyDescent="0.3">
      <c r="A18" s="44">
        <v>14</v>
      </c>
      <c r="B18" s="41" t="str">
        <f>IF(E18&lt;&gt;"",INDEX(Datos!D:D,MATCH(TH!E18,Datos!A:A,0)),"")</f>
        <v>APARTADO</v>
      </c>
      <c r="C18" s="41" t="str">
        <f>IF(E18&lt;&gt;"",INDEX(Datos!C:C,MATCH(TH!E18,Datos!A:A,0)),"")</f>
        <v>CONDUCTOR</v>
      </c>
      <c r="D18" s="23" t="str">
        <f>IF(E18&lt;&gt;"",INDEX(Datos!B:B,MATCH(TH!E18,Datos!A:A,0)),"")</f>
        <v>MENESES DURANGO CARLOS ANDRES</v>
      </c>
      <c r="E18">
        <v>1028019514</v>
      </c>
      <c r="F18" s="35" t="s">
        <v>23</v>
      </c>
      <c r="G18" s="36">
        <v>2026</v>
      </c>
      <c r="H18" s="37">
        <v>9</v>
      </c>
      <c r="I18" s="52" t="s">
        <v>1002</v>
      </c>
      <c r="J18" s="52" t="s">
        <v>528</v>
      </c>
      <c r="K18" s="53">
        <v>46154</v>
      </c>
      <c r="L18" s="34" t="s">
        <v>7</v>
      </c>
      <c r="M18" s="38">
        <v>0.79236111111111107</v>
      </c>
      <c r="N18" s="46">
        <v>0.85416666666666663</v>
      </c>
      <c r="O18" s="38">
        <f t="shared" si="3"/>
        <v>6.1805555555555558E-2</v>
      </c>
      <c r="P18" s="38">
        <v>0.25</v>
      </c>
      <c r="Q18" s="38">
        <v>0.5</v>
      </c>
      <c r="R18" s="38">
        <v>1.3888888888888888E-2</v>
      </c>
      <c r="S18" s="38">
        <v>0.52083333333333337</v>
      </c>
      <c r="T18" s="46">
        <v>0.85416666666666663</v>
      </c>
      <c r="U18" s="38">
        <f t="shared" si="1"/>
        <v>0.56944444444444442</v>
      </c>
      <c r="V18" s="39"/>
      <c r="W18" s="39"/>
      <c r="X18" s="39"/>
      <c r="Y18" s="39"/>
      <c r="Z18" s="39">
        <v>6.25E-2</v>
      </c>
      <c r="AA18" s="39"/>
      <c r="AB18" s="39"/>
      <c r="AC18" s="40"/>
    </row>
    <row r="19" spans="1:29" s="25" customFormat="1" ht="29.25" customHeight="1" x14ac:dyDescent="0.3">
      <c r="A19" s="45">
        <v>15</v>
      </c>
      <c r="B19" s="41" t="str">
        <f>IF(E19&lt;&gt;"",INDEX(Datos!D:D,MATCH(TH!E19,Datos!A:A,0)),"")</f>
        <v>APARTADO</v>
      </c>
      <c r="C19" s="41" t="str">
        <f>IF(E19&lt;&gt;"",INDEX(Datos!C:C,MATCH(TH!E19,Datos!A:A,0)),"")</f>
        <v>CONDUCTOR</v>
      </c>
      <c r="D19" s="23" t="str">
        <f>IF(E19&lt;&gt;"",INDEX(Datos!B:B,MATCH(TH!E19,Datos!A:A,0)),"")</f>
        <v>LOPEZ RODRIGUEZ BRANDON ESTIV</v>
      </c>
      <c r="E19">
        <v>1028021127</v>
      </c>
      <c r="F19" s="35" t="s">
        <v>15</v>
      </c>
      <c r="G19" s="36">
        <v>2026</v>
      </c>
      <c r="H19" s="37">
        <v>9</v>
      </c>
      <c r="I19" s="52" t="s">
        <v>987</v>
      </c>
      <c r="J19" s="52" t="s">
        <v>528</v>
      </c>
      <c r="K19" s="53">
        <v>46154</v>
      </c>
      <c r="L19" s="34" t="s">
        <v>7</v>
      </c>
      <c r="M19" s="38">
        <v>0.60416666666666663</v>
      </c>
      <c r="N19" s="46">
        <v>0.72916666666666663</v>
      </c>
      <c r="O19" s="38">
        <f t="shared" si="3"/>
        <v>0.125</v>
      </c>
      <c r="P19" s="38">
        <v>0.25</v>
      </c>
      <c r="Q19" s="38">
        <v>0.5</v>
      </c>
      <c r="R19" s="38">
        <v>1.3888888888888888E-2</v>
      </c>
      <c r="S19" s="38">
        <v>0.52083333333333337</v>
      </c>
      <c r="T19" s="46">
        <v>0.72916666666666663</v>
      </c>
      <c r="U19" s="38">
        <f t="shared" si="1"/>
        <v>0.44444444444444436</v>
      </c>
      <c r="V19" s="39"/>
      <c r="W19" s="39"/>
      <c r="X19" s="39"/>
      <c r="Y19" s="39">
        <v>0.125</v>
      </c>
      <c r="Z19" s="39"/>
      <c r="AA19" s="39"/>
      <c r="AB19" s="39"/>
      <c r="AC19" s="40"/>
    </row>
    <row r="20" spans="1:29" s="25" customFormat="1" ht="24.9" customHeight="1" x14ac:dyDescent="0.3">
      <c r="A20" s="45">
        <v>16</v>
      </c>
      <c r="B20" s="41" t="str">
        <f>IF(E20&lt;&gt;"",INDEX(Datos!D:D,MATCH(TH!E20,Datos!A:A,0)),"")</f>
        <v>APARTADO</v>
      </c>
      <c r="C20" s="41" t="str">
        <f>IF(E20&lt;&gt;"",INDEX(Datos!C:C,MATCH(TH!E20,Datos!A:A,0)),"")</f>
        <v>CONDUCTOR</v>
      </c>
      <c r="D20" s="23" t="str">
        <f>IF(E20&lt;&gt;"",INDEX(Datos!B:B,MATCH(TH!E20,Datos!A:A,0)),"")</f>
        <v>CORREA REYES JUAN JOSE</v>
      </c>
      <c r="E20">
        <v>1001503758</v>
      </c>
      <c r="F20" s="35" t="s">
        <v>15</v>
      </c>
      <c r="G20" s="36">
        <v>2026</v>
      </c>
      <c r="H20" s="37">
        <v>9</v>
      </c>
      <c r="I20" s="52" t="s">
        <v>1012</v>
      </c>
      <c r="J20" s="52" t="s">
        <v>528</v>
      </c>
      <c r="K20" s="53">
        <v>46154</v>
      </c>
      <c r="L20" s="34" t="s">
        <v>7</v>
      </c>
      <c r="M20" s="38">
        <v>0.60416666666666663</v>
      </c>
      <c r="N20" s="46">
        <v>0.79166666666666663</v>
      </c>
      <c r="O20" s="38">
        <f>+N20-M20</f>
        <v>0.1875</v>
      </c>
      <c r="P20" s="38">
        <v>0.25</v>
      </c>
      <c r="Q20" s="38">
        <v>0.5</v>
      </c>
      <c r="R20" s="38">
        <v>1.3888888888888888E-2</v>
      </c>
      <c r="S20" s="38">
        <v>0.52083333333333337</v>
      </c>
      <c r="T20" s="46">
        <v>0.8125</v>
      </c>
      <c r="U20" s="38">
        <f t="shared" si="1"/>
        <v>0.52777777777777779</v>
      </c>
      <c r="V20" s="39"/>
      <c r="W20" s="39"/>
      <c r="X20" s="39"/>
      <c r="Y20" s="39">
        <v>0.1875</v>
      </c>
      <c r="Z20" s="39"/>
      <c r="AA20" s="39"/>
      <c r="AB20" s="39"/>
      <c r="AC20" s="40"/>
    </row>
    <row r="21" spans="1:29" s="25" customFormat="1" ht="24.9" customHeight="1" x14ac:dyDescent="0.3">
      <c r="A21" s="44">
        <v>17</v>
      </c>
      <c r="B21" s="41" t="str">
        <f>IF(E21&lt;&gt;"",INDEX(Datos!D:D,MATCH(TH!E21,Datos!A:A,0)),"")</f>
        <v>APARTADO</v>
      </c>
      <c r="C21" s="41" t="str">
        <f>IF(E21&lt;&gt;"",INDEX(Datos!C:C,MATCH(TH!E21,Datos!A:A,0)),"")</f>
        <v>CONDUCTOR</v>
      </c>
      <c r="D21" s="23" t="str">
        <f>IF(E21&lt;&gt;"",INDEX(Datos!B:B,MATCH(TH!E21,Datos!A:A,0)),"")</f>
        <v>CORREA REYES JUAN JOSE</v>
      </c>
      <c r="E21">
        <v>1001503758</v>
      </c>
      <c r="F21" s="35" t="s">
        <v>23</v>
      </c>
      <c r="G21" s="36">
        <v>2026</v>
      </c>
      <c r="H21" s="37">
        <v>9</v>
      </c>
      <c r="I21" s="52" t="s">
        <v>1003</v>
      </c>
      <c r="J21" s="52" t="s">
        <v>528</v>
      </c>
      <c r="K21" s="53">
        <v>46154</v>
      </c>
      <c r="L21" s="34" t="s">
        <v>7</v>
      </c>
      <c r="M21" s="38">
        <v>0.79236111111111107</v>
      </c>
      <c r="N21" s="38">
        <v>0.8125</v>
      </c>
      <c r="O21" s="38">
        <f t="shared" si="3"/>
        <v>2.0138888888888928E-2</v>
      </c>
      <c r="P21" s="38">
        <v>0.25</v>
      </c>
      <c r="Q21" s="38">
        <v>0.5</v>
      </c>
      <c r="R21" s="38">
        <v>1.3888888888888888E-2</v>
      </c>
      <c r="S21" s="38">
        <v>0.52083333333333337</v>
      </c>
      <c r="T21" s="38">
        <v>0.8125</v>
      </c>
      <c r="U21" s="38">
        <f>(Q21-P21)+(T21-S21)-R21</f>
        <v>0.52777777777777779</v>
      </c>
      <c r="V21" s="39"/>
      <c r="W21" s="39"/>
      <c r="X21" s="39"/>
      <c r="Y21" s="39"/>
      <c r="Z21" s="39">
        <v>2.0833333333333332E-2</v>
      </c>
      <c r="AA21" s="39"/>
      <c r="AB21" s="39"/>
      <c r="AC21" s="40"/>
    </row>
    <row r="22" spans="1:29" s="25" customFormat="1" ht="24" customHeight="1" x14ac:dyDescent="0.3">
      <c r="A22" s="44">
        <v>18</v>
      </c>
      <c r="B22" s="41" t="str">
        <f>IF(E22&lt;&gt;"",INDEX(Datos!D:D,MATCH(TH!E22,Datos!A:A,0)),"")</f>
        <v>APARTADO</v>
      </c>
      <c r="C22" s="41" t="str">
        <f>IF(E22&lt;&gt;"",INDEX(Datos!C:C,MATCH(TH!E22,Datos!A:A,0)),"")</f>
        <v>CONDUCTOR</v>
      </c>
      <c r="D22" s="23" t="str">
        <f>IF(E22&lt;&gt;"",INDEX(Datos!B:B,MATCH(TH!E22,Datos!A:A,0)),"")</f>
        <v>PASTRANA LICONA BEYMER ALBERTO</v>
      </c>
      <c r="E22">
        <v>1028031721</v>
      </c>
      <c r="F22" s="35" t="s">
        <v>15</v>
      </c>
      <c r="G22" s="36">
        <v>2026</v>
      </c>
      <c r="H22" s="37">
        <v>9</v>
      </c>
      <c r="I22" s="52" t="s">
        <v>991</v>
      </c>
      <c r="J22" s="52" t="s">
        <v>528</v>
      </c>
      <c r="K22" s="53">
        <v>46154</v>
      </c>
      <c r="L22" s="34" t="s">
        <v>7</v>
      </c>
      <c r="M22" s="38">
        <v>0.60416666666666663</v>
      </c>
      <c r="N22" s="46">
        <v>0.70833333333333337</v>
      </c>
      <c r="O22" s="38">
        <f>+N22-M22</f>
        <v>0.10416666666666674</v>
      </c>
      <c r="P22" s="38">
        <v>0.25</v>
      </c>
      <c r="Q22" s="38">
        <v>0.5</v>
      </c>
      <c r="R22" s="38">
        <v>1.3888888888888888E-2</v>
      </c>
      <c r="S22" s="38">
        <v>0.52083333333333337</v>
      </c>
      <c r="T22" s="46">
        <v>0.70833333333333337</v>
      </c>
      <c r="U22" s="38">
        <f t="shared" si="1"/>
        <v>0.4236111111111111</v>
      </c>
      <c r="V22" s="39"/>
      <c r="W22" s="39"/>
      <c r="X22" s="39"/>
      <c r="Y22" s="39">
        <v>0.10416666666666667</v>
      </c>
      <c r="Z22" s="39"/>
      <c r="AA22" s="39"/>
      <c r="AB22" s="39"/>
      <c r="AC22" s="40"/>
    </row>
    <row r="23" spans="1:29" s="25" customFormat="1" ht="24.9" customHeight="1" x14ac:dyDescent="0.3">
      <c r="A23" s="45">
        <v>19</v>
      </c>
      <c r="B23" s="41" t="str">
        <f>IF(E23&lt;&gt;"",INDEX(Datos!D:D,MATCH(TH!E23,Datos!A:A,0)),"")</f>
        <v>APARTADO</v>
      </c>
      <c r="C23" s="41" t="str">
        <f>IF(E23&lt;&gt;"",INDEX(Datos!C:C,MATCH(TH!E23,Datos!A:A,0)),"")</f>
        <v>CONDUCTOR</v>
      </c>
      <c r="D23" s="23" t="str">
        <f>IF(E23&lt;&gt;"",INDEX(Datos!B:B,MATCH(TH!E23,Datos!A:A,0)),"")</f>
        <v>PALACIOS PALACIOS FLORINDO</v>
      </c>
      <c r="E23">
        <v>8324343</v>
      </c>
      <c r="F23" s="35" t="s">
        <v>15</v>
      </c>
      <c r="G23" s="36">
        <v>2026</v>
      </c>
      <c r="H23" s="37">
        <v>9</v>
      </c>
      <c r="I23" s="52" t="s">
        <v>1012</v>
      </c>
      <c r="J23" s="52" t="s">
        <v>528</v>
      </c>
      <c r="K23" s="53">
        <v>46154</v>
      </c>
      <c r="L23" s="34" t="s">
        <v>7</v>
      </c>
      <c r="M23" s="38">
        <v>0.60416666666666663</v>
      </c>
      <c r="N23" s="46">
        <v>0.79166666666666663</v>
      </c>
      <c r="O23" s="38">
        <f t="shared" si="3"/>
        <v>0.1875</v>
      </c>
      <c r="P23" s="38">
        <v>0.25</v>
      </c>
      <c r="Q23" s="38">
        <v>0.5</v>
      </c>
      <c r="R23" s="38">
        <v>1.3888888888888888E-2</v>
      </c>
      <c r="S23" s="38">
        <v>0.52083333333333337</v>
      </c>
      <c r="T23" s="46">
        <v>0.89583333333333337</v>
      </c>
      <c r="U23" s="38">
        <f>(Q23-P23)+(T23-S23)-R23</f>
        <v>0.61111111111111116</v>
      </c>
      <c r="V23" s="39"/>
      <c r="W23" s="39"/>
      <c r="X23" s="39"/>
      <c r="Y23" s="39">
        <v>0.1875</v>
      </c>
      <c r="Z23" s="39"/>
      <c r="AA23" s="39"/>
      <c r="AB23" s="39"/>
      <c r="AC23" s="40"/>
    </row>
    <row r="24" spans="1:29" s="25" customFormat="1" ht="24.9" customHeight="1" x14ac:dyDescent="0.3">
      <c r="A24" s="44">
        <v>20</v>
      </c>
      <c r="B24" s="41" t="str">
        <f>IF(E24&lt;&gt;"",INDEX(Datos!D:D,MATCH(TH!E24,Datos!A:A,0)),"")</f>
        <v>APARTADO</v>
      </c>
      <c r="C24" s="41" t="str">
        <f>IF(E24&lt;&gt;"",INDEX(Datos!C:C,MATCH(TH!E24,Datos!A:A,0)),"")</f>
        <v>CONDUCTOR</v>
      </c>
      <c r="D24" s="23" t="str">
        <f>IF(E24&lt;&gt;"",INDEX(Datos!B:B,MATCH(TH!E24,Datos!A:A,0)),"")</f>
        <v>PALACIOS PALACIOS FLORINDO</v>
      </c>
      <c r="E24">
        <v>8324343</v>
      </c>
      <c r="F24" s="35" t="s">
        <v>23</v>
      </c>
      <c r="G24" s="36">
        <v>2026</v>
      </c>
      <c r="H24" s="37">
        <v>9</v>
      </c>
      <c r="I24" s="52" t="s">
        <v>991</v>
      </c>
      <c r="J24" s="52" t="s">
        <v>528</v>
      </c>
      <c r="K24" s="53">
        <v>46154</v>
      </c>
      <c r="L24" s="34" t="s">
        <v>7</v>
      </c>
      <c r="M24" s="38">
        <v>0.79236111111111107</v>
      </c>
      <c r="N24" s="46">
        <v>0.89583333333333337</v>
      </c>
      <c r="O24" s="38">
        <f>+N24-M24</f>
        <v>0.1034722222222223</v>
      </c>
      <c r="P24" s="38">
        <v>0.25</v>
      </c>
      <c r="Q24" s="38">
        <v>0.5</v>
      </c>
      <c r="R24" s="38">
        <v>1.3888888888888888E-2</v>
      </c>
      <c r="S24" s="38">
        <v>0.52083333333333337</v>
      </c>
      <c r="T24" s="46">
        <v>0.89583333333333337</v>
      </c>
      <c r="U24" s="38">
        <f>(Q24-P24)+(T24-S24)-R24</f>
        <v>0.61111111111111116</v>
      </c>
      <c r="V24" s="39"/>
      <c r="W24" s="39"/>
      <c r="X24" s="39"/>
      <c r="Y24" s="39"/>
      <c r="Z24" s="39">
        <v>0.10416666666666667</v>
      </c>
      <c r="AA24" s="39"/>
      <c r="AB24" s="39"/>
      <c r="AC24" s="40"/>
    </row>
    <row r="25" spans="1:29" s="25" customFormat="1" ht="24.9" customHeight="1" x14ac:dyDescent="0.3">
      <c r="A25" s="45">
        <v>21</v>
      </c>
      <c r="B25" s="41" t="str">
        <f>IF(E25&lt;&gt;"",INDEX(Datos!D:D,MATCH(TH!E25,Datos!A:A,0)),"")</f>
        <v>TURBO</v>
      </c>
      <c r="C25" s="41" t="str">
        <f>IF(E25&lt;&gt;"",INDEX(Datos!C:C,MATCH(TH!E25,Datos!A:A,0)),"")</f>
        <v>OPERARIO RECOLECCION Y B.V</v>
      </c>
      <c r="D25" s="23" t="str">
        <f>IF(E25&lt;&gt;"",INDEX(Datos!B:B,MATCH(TH!E25,Datos!A:A,0)),"")</f>
        <v>IBARGUEN RENTERIA JANIER</v>
      </c>
      <c r="E25">
        <v>1045518651</v>
      </c>
      <c r="F25" s="35" t="s">
        <v>4</v>
      </c>
      <c r="G25" s="36">
        <v>2026</v>
      </c>
      <c r="H25" s="37">
        <v>9</v>
      </c>
      <c r="I25" s="52" t="s">
        <v>867</v>
      </c>
      <c r="J25" s="52" t="s">
        <v>528</v>
      </c>
      <c r="K25" s="53">
        <v>46154</v>
      </c>
      <c r="L25" s="34" t="s">
        <v>7</v>
      </c>
      <c r="M25" s="38">
        <v>0.20833333333333334</v>
      </c>
      <c r="N25" s="38">
        <v>0.25</v>
      </c>
      <c r="O25" s="38">
        <f>+N25-M25</f>
        <v>4.1666666666666657E-2</v>
      </c>
      <c r="P25" s="38">
        <v>0.20833333333333334</v>
      </c>
      <c r="Q25" s="38">
        <v>0.5</v>
      </c>
      <c r="R25" s="38">
        <v>1.3888888888888888E-2</v>
      </c>
      <c r="S25" s="38">
        <v>0.52083333333333337</v>
      </c>
      <c r="T25" s="46">
        <v>0.5625</v>
      </c>
      <c r="U25" s="38">
        <f t="shared" si="1"/>
        <v>0.31944444444444436</v>
      </c>
      <c r="V25" s="39">
        <v>4.1666666666666664E-2</v>
      </c>
      <c r="W25" s="39"/>
      <c r="X25" s="39"/>
      <c r="Y25" s="39"/>
      <c r="Z25" s="39"/>
      <c r="AA25" s="39"/>
      <c r="AB25" s="39"/>
      <c r="AC25" s="40"/>
    </row>
    <row r="26" spans="1:29" s="25" customFormat="1" ht="26.25" customHeight="1" x14ac:dyDescent="0.3">
      <c r="A26" s="45">
        <v>22</v>
      </c>
      <c r="B26" s="41" t="str">
        <f>IF(E26&lt;&gt;"",INDEX(Datos!D:D,MATCH(TH!E26,Datos!A:A,0)),"")</f>
        <v>TURBO</v>
      </c>
      <c r="C26" s="41" t="str">
        <f>IF(E26&lt;&gt;"",INDEX(Datos!C:C,MATCH(TH!E26,Datos!A:A,0)),"")</f>
        <v>OPERARIO RECOLECCION Y B.V</v>
      </c>
      <c r="D26" s="23" t="str">
        <f>IF(E26&lt;&gt;"",INDEX(Datos!B:B,MATCH(TH!E26,Datos!A:A,0)),"")</f>
        <v>CUESTA ROMAÑA CRISTHIAN</v>
      </c>
      <c r="E26">
        <v>1045509448</v>
      </c>
      <c r="F26" s="35" t="s">
        <v>4</v>
      </c>
      <c r="G26" s="36">
        <v>2026</v>
      </c>
      <c r="H26" s="37">
        <v>9</v>
      </c>
      <c r="I26" s="52" t="s">
        <v>1003</v>
      </c>
      <c r="J26" s="52" t="s">
        <v>528</v>
      </c>
      <c r="K26" s="53">
        <v>46154</v>
      </c>
      <c r="L26" s="34" t="s">
        <v>7</v>
      </c>
      <c r="M26" s="38">
        <v>0.22916666666666666</v>
      </c>
      <c r="N26" s="38">
        <v>0.25</v>
      </c>
      <c r="O26" s="38">
        <f t="shared" si="3"/>
        <v>2.0833333333333343E-2</v>
      </c>
      <c r="P26" s="38">
        <v>0.22916666666666666</v>
      </c>
      <c r="Q26" s="38">
        <v>0.5</v>
      </c>
      <c r="R26" s="38">
        <v>1.3888888888888888E-2</v>
      </c>
      <c r="S26" s="38">
        <v>0.52083333333333337</v>
      </c>
      <c r="T26" s="46">
        <v>0.58333333333333337</v>
      </c>
      <c r="U26" s="38">
        <f t="shared" si="1"/>
        <v>0.31944444444444448</v>
      </c>
      <c r="V26" s="39">
        <v>2.0833333333333332E-2</v>
      </c>
      <c r="W26" s="39"/>
      <c r="X26" s="39"/>
      <c r="Y26" s="39"/>
      <c r="Z26" s="39"/>
      <c r="AA26" s="39"/>
      <c r="AB26" s="39"/>
      <c r="AC26" s="40"/>
    </row>
    <row r="27" spans="1:29" s="25" customFormat="1" ht="24.9" customHeight="1" x14ac:dyDescent="0.3">
      <c r="A27" s="44">
        <v>23</v>
      </c>
      <c r="B27" s="41" t="str">
        <f>IF(E27&lt;&gt;"",INDEX(Datos!D:D,MATCH(TH!E27,Datos!A:A,0)),"")</f>
        <v>APARTADO</v>
      </c>
      <c r="C27" s="41" t="str">
        <f>IF(E27&lt;&gt;"",INDEX(Datos!C:C,MATCH(TH!E27,Datos!A:A,0)),"")</f>
        <v>OPERARIO RECOLECCION Y B.V</v>
      </c>
      <c r="D27" s="23" t="str">
        <f>IF(E27&lt;&gt;"",INDEX(Datos!B:B,MATCH(TH!E27,Datos!A:A,0)),"")</f>
        <v>MURILLO VASCO BRAYAN CAMILO</v>
      </c>
      <c r="E27">
        <v>1045518801</v>
      </c>
      <c r="F27" s="35" t="s">
        <v>4</v>
      </c>
      <c r="G27" s="36">
        <v>2026</v>
      </c>
      <c r="H27" s="37">
        <v>9</v>
      </c>
      <c r="I27" s="52" t="s">
        <v>867</v>
      </c>
      <c r="J27" s="52" t="s">
        <v>528</v>
      </c>
      <c r="K27" s="53">
        <v>46154</v>
      </c>
      <c r="L27" s="34" t="s">
        <v>7</v>
      </c>
      <c r="M27" s="38">
        <v>0.20833333333333334</v>
      </c>
      <c r="N27" s="38">
        <v>0.25</v>
      </c>
      <c r="O27" s="38">
        <f t="shared" si="3"/>
        <v>4.1666666666666657E-2</v>
      </c>
      <c r="P27" s="38">
        <v>0.20833333333333334</v>
      </c>
      <c r="Q27" s="38">
        <v>0.5</v>
      </c>
      <c r="R27" s="38">
        <v>1.3888888888888888E-2</v>
      </c>
      <c r="S27" s="38">
        <v>0.52083333333333337</v>
      </c>
      <c r="T27" s="46">
        <v>0.5625</v>
      </c>
      <c r="U27" s="38">
        <f t="shared" si="1"/>
        <v>0.31944444444444436</v>
      </c>
      <c r="V27" s="39">
        <v>4.1666666666666664E-2</v>
      </c>
      <c r="W27" s="39"/>
      <c r="X27" s="39"/>
      <c r="Y27" s="39"/>
      <c r="Z27" s="39"/>
      <c r="AA27" s="39"/>
      <c r="AB27" s="39"/>
      <c r="AC27" s="40"/>
    </row>
    <row r="28" spans="1:29" s="25" customFormat="1" ht="24.9" customHeight="1" x14ac:dyDescent="0.3">
      <c r="A28" s="44">
        <v>24</v>
      </c>
      <c r="B28" s="41" t="str">
        <f>IF(E28&lt;&gt;"",INDEX(Datos!D:D,MATCH(TH!E28,Datos!A:A,0)),"")</f>
        <v>TURBO</v>
      </c>
      <c r="C28" s="41" t="str">
        <f>IF(E28&lt;&gt;"",INDEX(Datos!C:C,MATCH(TH!E28,Datos!A:A,0)),"")</f>
        <v>CONDUCTOR</v>
      </c>
      <c r="D28" s="23" t="str">
        <f>IF(E28&lt;&gt;"",INDEX(Datos!B:B,MATCH(TH!E28,Datos!A:A,0)),"")</f>
        <v>ESPINOSA  GUERRERO CARLOS</v>
      </c>
      <c r="E28">
        <v>1045511586</v>
      </c>
      <c r="F28" s="35" t="s">
        <v>4</v>
      </c>
      <c r="G28" s="36">
        <v>2026</v>
      </c>
      <c r="H28" s="37">
        <v>9</v>
      </c>
      <c r="I28" s="52" t="s">
        <v>1013</v>
      </c>
      <c r="J28" s="52" t="s">
        <v>528</v>
      </c>
      <c r="K28" s="53">
        <v>46154</v>
      </c>
      <c r="L28" s="34" t="s">
        <v>7</v>
      </c>
      <c r="M28" s="38">
        <v>0.22222222222222221</v>
      </c>
      <c r="N28" s="38">
        <v>0.25</v>
      </c>
      <c r="O28" s="38">
        <f t="shared" si="3"/>
        <v>2.777777777777779E-2</v>
      </c>
      <c r="P28" s="38">
        <v>0.22222222222222221</v>
      </c>
      <c r="Q28" s="38">
        <v>0.5</v>
      </c>
      <c r="R28" s="38">
        <v>1.3888888888888888E-2</v>
      </c>
      <c r="S28" s="38">
        <v>0.52083333333333337</v>
      </c>
      <c r="T28" s="46">
        <v>0.63888888888888895</v>
      </c>
      <c r="U28" s="38">
        <f t="shared" si="1"/>
        <v>0.38194444444444448</v>
      </c>
      <c r="V28" s="39">
        <v>2.7777777777777776E-2</v>
      </c>
      <c r="W28" s="39"/>
      <c r="X28" s="39"/>
      <c r="Y28" s="39"/>
      <c r="Z28" s="39"/>
      <c r="AA28" s="39"/>
      <c r="AB28" s="39"/>
      <c r="AC28" s="40"/>
    </row>
    <row r="29" spans="1:29" ht="24.9" customHeight="1" x14ac:dyDescent="0.3">
      <c r="A29" s="45">
        <v>25</v>
      </c>
      <c r="B29" s="41" t="str">
        <f>IF(E29&lt;&gt;"",INDEX(Datos!D:D,MATCH(TH!E29,Datos!A:A,0)),"")</f>
        <v>TURBO</v>
      </c>
      <c r="C29" s="41" t="str">
        <f>IF(E29&lt;&gt;"",INDEX(Datos!C:C,MATCH(TH!E29,Datos!A:A,0)),"")</f>
        <v>CONDUCTOR</v>
      </c>
      <c r="D29" s="23" t="str">
        <f>IF(E29&lt;&gt;"",INDEX(Datos!B:B,MATCH(TH!E29,Datos!A:A,0)),"")</f>
        <v>ESPINOSA  GUERRERO CARLOS</v>
      </c>
      <c r="E29">
        <v>1045511586</v>
      </c>
      <c r="F29" s="35" t="s">
        <v>15</v>
      </c>
      <c r="G29" s="36">
        <v>2026</v>
      </c>
      <c r="H29" s="37">
        <v>9</v>
      </c>
      <c r="I29" s="52" t="s">
        <v>1002</v>
      </c>
      <c r="J29" s="52" t="s">
        <v>528</v>
      </c>
      <c r="K29" s="53">
        <v>46154</v>
      </c>
      <c r="L29" s="34" t="s">
        <v>7</v>
      </c>
      <c r="M29" s="38">
        <v>0.58333333333333337</v>
      </c>
      <c r="N29" s="46">
        <v>0.64583333333333337</v>
      </c>
      <c r="O29" s="38">
        <f t="shared" si="3"/>
        <v>6.25E-2</v>
      </c>
      <c r="P29" s="38">
        <v>0.22222222222222221</v>
      </c>
      <c r="Q29" s="38">
        <v>0.5</v>
      </c>
      <c r="R29" s="38">
        <v>1.3888888888888888E-2</v>
      </c>
      <c r="S29" s="38">
        <v>0.52083333333333337</v>
      </c>
      <c r="T29" s="46">
        <v>0.63888888888888895</v>
      </c>
      <c r="U29" s="38">
        <f>(Q29-P29)+(T29-S29)-R29</f>
        <v>0.38194444444444448</v>
      </c>
      <c r="V29" s="39"/>
      <c r="W29" s="39"/>
      <c r="X29" s="39"/>
      <c r="Y29" s="39">
        <v>6.25E-2</v>
      </c>
      <c r="Z29" s="39"/>
      <c r="AA29" s="39"/>
      <c r="AB29" s="39"/>
      <c r="AC29" s="40"/>
    </row>
    <row r="30" spans="1:29" ht="24.9" customHeight="1" x14ac:dyDescent="0.3">
      <c r="A30" s="44">
        <v>26</v>
      </c>
      <c r="B30" s="41" t="str">
        <f>IF(E30&lt;&gt;"",INDEX(Datos!D:D,MATCH(TH!E30,Datos!A:A,0)),"")</f>
        <v>APARTADO</v>
      </c>
      <c r="C30" s="41" t="str">
        <f>IF(E30&lt;&gt;"",INDEX(Datos!C:C,MATCH(TH!E30,Datos!A:A,0)),"")</f>
        <v>OPERARIO BARRIDO VIAL</v>
      </c>
      <c r="D30" s="23" t="str">
        <f>IF(E30&lt;&gt;"",INDEX(Datos!B:B,MATCH(TH!E30,Datos!A:A,0)),"")</f>
        <v>ORREGO DIEGO ALEXANDER</v>
      </c>
      <c r="E30">
        <v>1146434628</v>
      </c>
      <c r="F30" s="35" t="s">
        <v>4</v>
      </c>
      <c r="G30" s="36">
        <v>2026</v>
      </c>
      <c r="H30" s="37">
        <v>9</v>
      </c>
      <c r="I30" s="52" t="s">
        <v>867</v>
      </c>
      <c r="J30" s="52" t="s">
        <v>528</v>
      </c>
      <c r="K30" s="53">
        <v>46154</v>
      </c>
      <c r="L30" s="34" t="s">
        <v>7</v>
      </c>
      <c r="M30" s="38">
        <v>0.20833333333333334</v>
      </c>
      <c r="N30" s="38">
        <v>0.25</v>
      </c>
      <c r="O30" s="38">
        <f t="shared" si="3"/>
        <v>4.1666666666666657E-2</v>
      </c>
      <c r="P30" s="38">
        <v>0.20833333333333334</v>
      </c>
      <c r="Q30" s="38">
        <v>0.5</v>
      </c>
      <c r="R30" s="38">
        <v>1.3888888888888888E-2</v>
      </c>
      <c r="S30" s="38">
        <v>0.52083333333333337</v>
      </c>
      <c r="T30" s="46">
        <v>0.8125</v>
      </c>
      <c r="U30" s="38">
        <f t="shared" si="1"/>
        <v>0.56944444444444442</v>
      </c>
      <c r="V30" s="39">
        <v>4.1666666666666664E-2</v>
      </c>
      <c r="W30" s="39"/>
      <c r="X30" s="39"/>
      <c r="Y30" s="39"/>
      <c r="Z30" s="39"/>
      <c r="AA30" s="39"/>
      <c r="AB30" s="39"/>
      <c r="AC30" s="40"/>
    </row>
    <row r="31" spans="1:29" ht="24.9" customHeight="1" x14ac:dyDescent="0.3">
      <c r="A31" s="45">
        <v>27</v>
      </c>
      <c r="B31" s="41" t="str">
        <f>IF(E31&lt;&gt;"",INDEX(Datos!D:D,MATCH(TH!E31,Datos!A:A,0)),"")</f>
        <v>APARTADO</v>
      </c>
      <c r="C31" s="41" t="str">
        <f>IF(E31&lt;&gt;"",INDEX(Datos!C:C,MATCH(TH!E31,Datos!A:A,0)),"")</f>
        <v>OPERARIO BARRIDO VIAL</v>
      </c>
      <c r="D31" s="23" t="str">
        <f>IF(E31&lt;&gt;"",INDEX(Datos!B:B,MATCH(TH!E31,Datos!A:A,0)),"")</f>
        <v>ORREGO DIEGO ALEXANDER</v>
      </c>
      <c r="E31">
        <v>1146434628</v>
      </c>
      <c r="F31" s="35" t="s">
        <v>15</v>
      </c>
      <c r="G31" s="36">
        <v>2026</v>
      </c>
      <c r="H31" s="37">
        <v>9</v>
      </c>
      <c r="I31" s="52" t="s">
        <v>999</v>
      </c>
      <c r="J31" s="52" t="s">
        <v>528</v>
      </c>
      <c r="K31" s="53">
        <v>46154</v>
      </c>
      <c r="L31" s="34" t="s">
        <v>7</v>
      </c>
      <c r="M31" s="38">
        <v>0.5625</v>
      </c>
      <c r="N31" s="38">
        <v>0.79166666666666663</v>
      </c>
      <c r="O31" s="38">
        <f>+N31-M31</f>
        <v>0.22916666666666663</v>
      </c>
      <c r="P31" s="38">
        <v>0.20833333333333334</v>
      </c>
      <c r="Q31" s="38">
        <v>0.5</v>
      </c>
      <c r="R31" s="38">
        <v>1.3888888888888888E-2</v>
      </c>
      <c r="S31" s="38">
        <v>0.52083333333333337</v>
      </c>
      <c r="T31" s="38">
        <v>0.8125</v>
      </c>
      <c r="U31" s="38">
        <f>(Q31-P31)+(T31-S31)-R31</f>
        <v>0.56944444444444442</v>
      </c>
      <c r="V31" s="39"/>
      <c r="W31" s="39"/>
      <c r="X31" s="39"/>
      <c r="Y31" s="39">
        <v>0.22916666666666666</v>
      </c>
      <c r="Z31" s="39"/>
      <c r="AA31" s="39"/>
      <c r="AB31" s="39"/>
      <c r="AC31" s="40"/>
    </row>
    <row r="32" spans="1:29" ht="24.9" customHeight="1" x14ac:dyDescent="0.3">
      <c r="A32" s="45">
        <v>28</v>
      </c>
      <c r="B32" s="41" t="str">
        <f>IF(E32&lt;&gt;"",INDEX(Datos!D:D,MATCH(TH!E32,Datos!A:A,0)),"")</f>
        <v>APARTADO</v>
      </c>
      <c r="C32" s="41" t="str">
        <f>IF(E32&lt;&gt;"",INDEX(Datos!C:C,MATCH(TH!E32,Datos!A:A,0)),"")</f>
        <v>OPERARIO BARRIDO VIAL</v>
      </c>
      <c r="D32" s="23" t="str">
        <f>IF(E32&lt;&gt;"",INDEX(Datos!B:B,MATCH(TH!E32,Datos!A:A,0)),"")</f>
        <v>ORREGO DIEGO ALEXANDER</v>
      </c>
      <c r="E32">
        <v>1146434628</v>
      </c>
      <c r="F32" s="35" t="s">
        <v>23</v>
      </c>
      <c r="G32" s="36">
        <v>2026</v>
      </c>
      <c r="H32" s="37">
        <v>9</v>
      </c>
      <c r="I32" s="52" t="s">
        <v>1003</v>
      </c>
      <c r="J32" s="52" t="s">
        <v>528</v>
      </c>
      <c r="K32" s="53">
        <v>46154</v>
      </c>
      <c r="L32" s="34" t="s">
        <v>7</v>
      </c>
      <c r="M32" s="38">
        <v>0.79236111111111107</v>
      </c>
      <c r="N32" s="46">
        <v>0.8125</v>
      </c>
      <c r="O32" s="38">
        <f t="shared" si="3"/>
        <v>2.0138888888888928E-2</v>
      </c>
      <c r="P32" s="38">
        <v>0.20833333333333334</v>
      </c>
      <c r="Q32" s="38">
        <v>0.5</v>
      </c>
      <c r="R32" s="38">
        <v>1.3888888888888888E-2</v>
      </c>
      <c r="S32" s="38">
        <v>0.52083333333333337</v>
      </c>
      <c r="T32" s="38">
        <v>0.8125</v>
      </c>
      <c r="U32" s="38">
        <f t="shared" si="1"/>
        <v>0.56944444444444442</v>
      </c>
      <c r="V32" s="39"/>
      <c r="W32" s="39"/>
      <c r="X32" s="39"/>
      <c r="Y32" s="39"/>
      <c r="Z32" s="39">
        <v>2.0833333333333332E-2</v>
      </c>
      <c r="AA32" s="39"/>
      <c r="AB32" s="39"/>
      <c r="AC32" s="40"/>
    </row>
    <row r="33" spans="1:29" ht="24.9" customHeight="1" x14ac:dyDescent="0.3">
      <c r="A33" s="44">
        <v>29</v>
      </c>
      <c r="B33" s="41" t="str">
        <f>IF(E33&lt;&gt;"",INDEX(Datos!D:D,MATCH(TH!E33,Datos!A:A,0)),"")</f>
        <v>TURBO</v>
      </c>
      <c r="C33" s="41" t="str">
        <f>IF(E33&lt;&gt;"",INDEX(Datos!C:C,MATCH(TH!E33,Datos!A:A,0)),"")</f>
        <v>OPERARIO BARRIDO VIAL</v>
      </c>
      <c r="D33" s="23" t="str">
        <f>IF(E33&lt;&gt;"",INDEX(Datos!B:B,MATCH(TH!E33,Datos!A:A,0)),"")</f>
        <v>CASTILLO OROZCO NORA</v>
      </c>
      <c r="E33">
        <v>39301485</v>
      </c>
      <c r="F33" s="35" t="s">
        <v>4</v>
      </c>
      <c r="G33" s="36">
        <v>2026</v>
      </c>
      <c r="H33" s="37">
        <v>9</v>
      </c>
      <c r="I33" s="52" t="s">
        <v>867</v>
      </c>
      <c r="J33" s="52" t="s">
        <v>528</v>
      </c>
      <c r="K33" s="53">
        <v>46154</v>
      </c>
      <c r="L33" s="34" t="s">
        <v>7</v>
      </c>
      <c r="M33" s="38">
        <v>0.20833333333333334</v>
      </c>
      <c r="N33" s="38">
        <v>0.25</v>
      </c>
      <c r="O33" s="38">
        <f t="shared" si="3"/>
        <v>4.1666666666666657E-2</v>
      </c>
      <c r="P33" s="38">
        <v>0.20833333333333334</v>
      </c>
      <c r="Q33" s="38">
        <v>0.5</v>
      </c>
      <c r="R33" s="38">
        <v>1.3888888888888888E-2</v>
      </c>
      <c r="S33" s="38">
        <v>0.52083333333333337</v>
      </c>
      <c r="T33" s="46">
        <v>0.5625</v>
      </c>
      <c r="U33" s="38">
        <f t="shared" si="1"/>
        <v>0.31944444444444436</v>
      </c>
      <c r="V33" s="39">
        <v>4.1666666666666664E-2</v>
      </c>
      <c r="W33" s="39"/>
      <c r="X33" s="39"/>
      <c r="Y33" s="39"/>
      <c r="Z33" s="39"/>
      <c r="AA33" s="39"/>
      <c r="AB33" s="39"/>
      <c r="AC33" s="40"/>
    </row>
    <row r="34" spans="1:29" ht="24.9" customHeight="1" x14ac:dyDescent="0.3">
      <c r="A34" s="44">
        <v>30</v>
      </c>
      <c r="B34" s="41" t="str">
        <f>IF(E34&lt;&gt;"",INDEX(Datos!D:D,MATCH(TH!E34,Datos!A:A,0)),"")</f>
        <v>TURBO</v>
      </c>
      <c r="C34" s="41" t="str">
        <f>IF(E34&lt;&gt;"",INDEX(Datos!C:C,MATCH(TH!E34,Datos!A:A,0)),"")</f>
        <v>OPERARIO RECOLECCION Y B.V</v>
      </c>
      <c r="D34" s="23" t="str">
        <f>IF(E34&lt;&gt;"",INDEX(Datos!B:B,MATCH(TH!E34,Datos!A:A,0)),"")</f>
        <v>GONZALEZ URANGO OBEIMAR</v>
      </c>
      <c r="E34">
        <v>1045513449</v>
      </c>
      <c r="F34" s="35" t="s">
        <v>4</v>
      </c>
      <c r="G34" s="36">
        <v>2026</v>
      </c>
      <c r="H34" s="37">
        <v>9</v>
      </c>
      <c r="I34" s="52" t="s">
        <v>867</v>
      </c>
      <c r="J34" s="52" t="s">
        <v>528</v>
      </c>
      <c r="K34" s="53">
        <v>46154</v>
      </c>
      <c r="L34" s="34" t="s">
        <v>7</v>
      </c>
      <c r="M34" s="38">
        <v>0.20833333333333334</v>
      </c>
      <c r="N34" s="38">
        <v>0.25</v>
      </c>
      <c r="O34" s="38">
        <f t="shared" si="3"/>
        <v>4.1666666666666657E-2</v>
      </c>
      <c r="P34" s="38">
        <v>0.20833333333333334</v>
      </c>
      <c r="Q34" s="38">
        <v>0.5</v>
      </c>
      <c r="R34" s="38">
        <v>1.3888888888888888E-2</v>
      </c>
      <c r="S34" s="38">
        <v>0.52083333333333337</v>
      </c>
      <c r="T34" s="46">
        <v>0.5625</v>
      </c>
      <c r="U34" s="38">
        <f t="shared" si="1"/>
        <v>0.31944444444444436</v>
      </c>
      <c r="V34" s="39">
        <v>4.1666666666666664E-2</v>
      </c>
      <c r="W34" s="39"/>
      <c r="X34" s="39"/>
      <c r="Y34" s="39"/>
      <c r="Z34" s="39"/>
      <c r="AA34" s="39"/>
      <c r="AB34" s="39"/>
      <c r="AC34" s="40"/>
    </row>
    <row r="35" spans="1:29" ht="24.9" customHeight="1" x14ac:dyDescent="0.3">
      <c r="A35" s="45">
        <v>31</v>
      </c>
      <c r="B35" s="41" t="str">
        <f>IF(E35&lt;&gt;"",INDEX(Datos!D:D,MATCH(TH!E35,Datos!A:A,0)),"")</f>
        <v>TURBO</v>
      </c>
      <c r="C35" s="41" t="str">
        <f>IF(E35&lt;&gt;"",INDEX(Datos!C:C,MATCH(TH!E35,Datos!A:A,0)),"")</f>
        <v>OPERARIO RECOLECCION Y B.V</v>
      </c>
      <c r="D35" s="23" t="str">
        <f>IF(E35&lt;&gt;"",INDEX(Datos!B:B,MATCH(TH!E35,Datos!A:A,0)),"")</f>
        <v>LAGAREJO PALACIO JUAN DAVID</v>
      </c>
      <c r="E35">
        <v>1045510473</v>
      </c>
      <c r="F35" s="35" t="s">
        <v>4</v>
      </c>
      <c r="G35" s="36">
        <v>2026</v>
      </c>
      <c r="H35" s="37">
        <v>9</v>
      </c>
      <c r="I35" s="52" t="s">
        <v>867</v>
      </c>
      <c r="J35" s="52" t="s">
        <v>528</v>
      </c>
      <c r="K35" s="53">
        <v>46154</v>
      </c>
      <c r="L35" s="34" t="s">
        <v>7</v>
      </c>
      <c r="M35" s="38">
        <v>0.20833333333333334</v>
      </c>
      <c r="N35" s="38">
        <v>0.25</v>
      </c>
      <c r="O35" s="38">
        <f t="shared" si="3"/>
        <v>4.1666666666666657E-2</v>
      </c>
      <c r="P35" s="38">
        <v>0.20833333333333334</v>
      </c>
      <c r="Q35" s="38">
        <v>0.5</v>
      </c>
      <c r="R35" s="38">
        <v>1.3888888888888888E-2</v>
      </c>
      <c r="S35" s="38">
        <v>0.52083333333333337</v>
      </c>
      <c r="T35" s="46">
        <v>0.5625</v>
      </c>
      <c r="U35" s="38">
        <f>(Q35-P35)+(T35-S35)-R35</f>
        <v>0.31944444444444436</v>
      </c>
      <c r="V35" s="39">
        <v>4.1666666666666664E-2</v>
      </c>
      <c r="W35" s="39"/>
      <c r="X35" s="39"/>
      <c r="Y35" s="39"/>
      <c r="Z35" s="39"/>
      <c r="AA35" s="39"/>
      <c r="AB35" s="39"/>
      <c r="AC35" s="40"/>
    </row>
    <row r="36" spans="1:29" ht="24.9" customHeight="1" x14ac:dyDescent="0.3">
      <c r="A36" s="44">
        <v>32</v>
      </c>
      <c r="B36" s="41" t="str">
        <f>IF(E36&lt;&gt;"",INDEX(Datos!D:D,MATCH(TH!E36,Datos!A:A,0)),"")</f>
        <v>TURBO</v>
      </c>
      <c r="C36" s="41" t="str">
        <f>IF(E36&lt;&gt;"",INDEX(Datos!C:C,MATCH(TH!E36,Datos!A:A,0)),"")</f>
        <v>OPERARIO BARRIDO VIAL</v>
      </c>
      <c r="D36" s="23" t="str">
        <f>IF(E36&lt;&gt;"",INDEX(Datos!B:B,MATCH(TH!E36,Datos!A:A,0)),"")</f>
        <v>MACHUCA CHAVERRA VIQUIS MAGLEDIS</v>
      </c>
      <c r="E36">
        <v>39310769</v>
      </c>
      <c r="F36" s="35" t="s">
        <v>4</v>
      </c>
      <c r="G36" s="36">
        <v>2026</v>
      </c>
      <c r="H36" s="37">
        <v>9</v>
      </c>
      <c r="I36" s="52" t="s">
        <v>867</v>
      </c>
      <c r="J36" s="52" t="s">
        <v>528</v>
      </c>
      <c r="K36" s="53">
        <v>46154</v>
      </c>
      <c r="L36" s="34" t="s">
        <v>7</v>
      </c>
      <c r="M36" s="38">
        <v>0.20833333333333334</v>
      </c>
      <c r="N36" s="38">
        <v>0.25</v>
      </c>
      <c r="O36" s="38">
        <f t="shared" si="3"/>
        <v>4.1666666666666657E-2</v>
      </c>
      <c r="P36" s="38">
        <v>0.20833333333333334</v>
      </c>
      <c r="Q36" s="38">
        <v>0.5</v>
      </c>
      <c r="R36" s="38">
        <v>1.3888888888888888E-2</v>
      </c>
      <c r="S36" s="38">
        <v>0.52083333333333337</v>
      </c>
      <c r="T36" s="46">
        <v>0.5625</v>
      </c>
      <c r="U36" s="38">
        <f t="shared" si="1"/>
        <v>0.31944444444444436</v>
      </c>
      <c r="V36" s="39">
        <v>4.1666666666666664E-2</v>
      </c>
      <c r="W36" s="39"/>
      <c r="X36" s="39"/>
      <c r="Y36" s="39"/>
      <c r="Z36" s="39"/>
      <c r="AA36" s="39"/>
      <c r="AB36" s="39"/>
      <c r="AC36" s="40"/>
    </row>
    <row r="37" spans="1:29" ht="24" customHeight="1" x14ac:dyDescent="0.3">
      <c r="A37" s="45">
        <v>33</v>
      </c>
      <c r="B37" s="41" t="str">
        <f>IF(E37&lt;&gt;"",INDEX(Datos!D:D,MATCH(TH!E37,Datos!A:A,0)),"")</f>
        <v>TURBO</v>
      </c>
      <c r="C37" s="41" t="str">
        <f>IF(E37&lt;&gt;"",INDEX(Datos!C:C,MATCH(TH!E37,Datos!A:A,0)),"")</f>
        <v>OPERARIO RECOLECCION Y B.V</v>
      </c>
      <c r="D37" s="23" t="str">
        <f>IF(E37&lt;&gt;"",INDEX(Datos!B:B,MATCH(TH!E37,Datos!A:A,0)),"")</f>
        <v>MANJARRES PEREZ ELVIS ANTONIO</v>
      </c>
      <c r="E37">
        <v>1045504077</v>
      </c>
      <c r="F37" s="35" t="s">
        <v>4</v>
      </c>
      <c r="G37" s="36">
        <v>2026</v>
      </c>
      <c r="H37" s="37">
        <v>9</v>
      </c>
      <c r="I37" s="52" t="s">
        <v>867</v>
      </c>
      <c r="J37" s="52" t="s">
        <v>528</v>
      </c>
      <c r="K37" s="53">
        <v>46154</v>
      </c>
      <c r="L37" s="34" t="s">
        <v>7</v>
      </c>
      <c r="M37" s="38">
        <v>0.20833333333333334</v>
      </c>
      <c r="N37" s="38">
        <v>0.25</v>
      </c>
      <c r="O37" s="38">
        <f t="shared" si="3"/>
        <v>4.1666666666666657E-2</v>
      </c>
      <c r="P37" s="38">
        <v>0.20833333333333334</v>
      </c>
      <c r="Q37" s="38">
        <v>0.5</v>
      </c>
      <c r="R37" s="38">
        <v>1.3888888888888888E-2</v>
      </c>
      <c r="S37" s="38">
        <v>0.52083333333333337</v>
      </c>
      <c r="T37" s="46">
        <v>0.5625</v>
      </c>
      <c r="U37" s="38">
        <f t="shared" si="1"/>
        <v>0.31944444444444436</v>
      </c>
      <c r="V37" s="39">
        <v>4.1666666666666664E-2</v>
      </c>
      <c r="W37" s="39"/>
      <c r="X37" s="39"/>
      <c r="Y37" s="39"/>
      <c r="Z37" s="39"/>
      <c r="AA37" s="39"/>
      <c r="AB37" s="39"/>
      <c r="AC37" s="40"/>
    </row>
    <row r="38" spans="1:29" ht="24.9" customHeight="1" x14ac:dyDescent="0.3">
      <c r="A38" s="45">
        <v>34</v>
      </c>
      <c r="B38" s="41" t="str">
        <f>IF(E38&lt;&gt;"",INDEX(Datos!D:D,MATCH(TH!E38,Datos!A:A,0)),"")</f>
        <v>TURBO</v>
      </c>
      <c r="C38" s="41" t="str">
        <f>IF(E38&lt;&gt;"",INDEX(Datos!C:C,MATCH(TH!E38,Datos!A:A,0)),"")</f>
        <v>OPERARIO BARRIDO VIAL</v>
      </c>
      <c r="D38" s="23" t="str">
        <f>IF(E38&lt;&gt;"",INDEX(Datos!B:B,MATCH(TH!E38,Datos!A:A,0)),"")</f>
        <v>MENA ROMERO YASIRA</v>
      </c>
      <c r="E38">
        <v>1045507565</v>
      </c>
      <c r="F38" s="35" t="s">
        <v>4</v>
      </c>
      <c r="G38" s="36">
        <v>2026</v>
      </c>
      <c r="H38" s="37">
        <v>9</v>
      </c>
      <c r="I38" s="52" t="s">
        <v>867</v>
      </c>
      <c r="J38" s="52" t="s">
        <v>528</v>
      </c>
      <c r="K38" s="53">
        <v>46154</v>
      </c>
      <c r="L38" s="34" t="s">
        <v>7</v>
      </c>
      <c r="M38" s="38">
        <v>0.20833333333333334</v>
      </c>
      <c r="N38" s="38">
        <v>0.25</v>
      </c>
      <c r="O38" s="38">
        <f t="shared" si="3"/>
        <v>4.1666666666666657E-2</v>
      </c>
      <c r="P38" s="38">
        <v>0.20833333333333334</v>
      </c>
      <c r="Q38" s="38">
        <v>0.5</v>
      </c>
      <c r="R38" s="38">
        <v>1.3888888888888888E-2</v>
      </c>
      <c r="S38" s="38">
        <v>0.52083333333333337</v>
      </c>
      <c r="T38" s="46">
        <v>0.5625</v>
      </c>
      <c r="U38" s="38">
        <f t="shared" ref="U38:U69" si="4">(Q38-P38)+(T38-S38)-R38</f>
        <v>0.31944444444444436</v>
      </c>
      <c r="V38" s="39">
        <v>4.1666666666666664E-2</v>
      </c>
      <c r="W38" s="39"/>
      <c r="X38" s="39"/>
      <c r="Y38" s="39"/>
      <c r="Z38" s="39"/>
      <c r="AA38" s="39"/>
      <c r="AB38" s="39"/>
      <c r="AC38" s="40"/>
    </row>
    <row r="39" spans="1:29" ht="24.9" customHeight="1" x14ac:dyDescent="0.3">
      <c r="A39" s="44">
        <v>35</v>
      </c>
      <c r="B39" s="41" t="str">
        <f>IF(E39&lt;&gt;"",INDEX(Datos!D:D,MATCH(TH!E39,Datos!A:A,0)),"")</f>
        <v>TURBO</v>
      </c>
      <c r="C39" s="41" t="str">
        <f>IF(E39&lt;&gt;"",INDEX(Datos!C:C,MATCH(TH!E39,Datos!A:A,0)),"")</f>
        <v>OPERARIO RECOLECCION Y B.V</v>
      </c>
      <c r="D39" s="23" t="str">
        <f>IF(E39&lt;&gt;"",INDEX(Datos!B:B,MATCH(TH!E39,Datos!A:A,0)),"")</f>
        <v>OSPINO ESCUDERO JUAN CARLOS</v>
      </c>
      <c r="E39">
        <v>1007815738</v>
      </c>
      <c r="F39" s="35" t="s">
        <v>4</v>
      </c>
      <c r="G39" s="36">
        <v>2026</v>
      </c>
      <c r="H39" s="37">
        <v>9</v>
      </c>
      <c r="I39" s="52" t="s">
        <v>867</v>
      </c>
      <c r="J39" s="52" t="s">
        <v>528</v>
      </c>
      <c r="K39" s="53">
        <v>46154</v>
      </c>
      <c r="L39" s="34" t="s">
        <v>7</v>
      </c>
      <c r="M39" s="38">
        <v>0.20833333333333334</v>
      </c>
      <c r="N39" s="38">
        <v>0.25</v>
      </c>
      <c r="O39" s="38">
        <f t="shared" si="3"/>
        <v>4.1666666666666657E-2</v>
      </c>
      <c r="P39" s="38">
        <v>0.20833333333333334</v>
      </c>
      <c r="Q39" s="38">
        <v>0.5</v>
      </c>
      <c r="R39" s="38">
        <v>1.3888888888888888E-2</v>
      </c>
      <c r="S39" s="38">
        <v>0.52083333333333337</v>
      </c>
      <c r="T39" s="46">
        <v>0.5625</v>
      </c>
      <c r="U39" s="38">
        <f t="shared" si="4"/>
        <v>0.31944444444444436</v>
      </c>
      <c r="V39" s="39">
        <v>4.1666666666666664E-2</v>
      </c>
      <c r="W39" s="39"/>
      <c r="X39" s="39"/>
      <c r="Y39" s="39"/>
      <c r="Z39" s="39"/>
      <c r="AA39" s="39"/>
      <c r="AB39" s="39"/>
      <c r="AC39" s="40"/>
    </row>
    <row r="40" spans="1:29" ht="24.9" customHeight="1" x14ac:dyDescent="0.3">
      <c r="A40" s="44">
        <v>36</v>
      </c>
      <c r="B40" s="41" t="str">
        <f>IF(E40&lt;&gt;"",INDEX(Datos!D:D,MATCH(TH!E40,Datos!A:A,0)),"")</f>
        <v>TURBO</v>
      </c>
      <c r="C40" s="41" t="str">
        <f>IF(E40&lt;&gt;"",INDEX(Datos!C:C,MATCH(TH!E40,Datos!A:A,0)),"")</f>
        <v>OPERARIO RECOLECCION Y B.V</v>
      </c>
      <c r="D40" s="23" t="str">
        <f>IF(E40&lt;&gt;"",INDEX(Datos!B:B,MATCH(TH!E40,Datos!A:A,0)),"")</f>
        <v>RENTERIA PALACIOS ARIEL ENOR</v>
      </c>
      <c r="E40">
        <v>11560244</v>
      </c>
      <c r="F40" s="35" t="s">
        <v>4</v>
      </c>
      <c r="G40" s="36">
        <v>2026</v>
      </c>
      <c r="H40" s="37">
        <v>9</v>
      </c>
      <c r="I40" s="52" t="s">
        <v>867</v>
      </c>
      <c r="J40" s="52" t="s">
        <v>528</v>
      </c>
      <c r="K40" s="53">
        <v>46154</v>
      </c>
      <c r="L40" s="34" t="s">
        <v>7</v>
      </c>
      <c r="M40" s="38">
        <v>0.20833333333333334</v>
      </c>
      <c r="N40" s="38">
        <v>0.25</v>
      </c>
      <c r="O40" s="38">
        <f t="shared" si="3"/>
        <v>4.1666666666666657E-2</v>
      </c>
      <c r="P40" s="38">
        <v>0.20833333333333334</v>
      </c>
      <c r="Q40" s="38">
        <v>0.5</v>
      </c>
      <c r="R40" s="38">
        <v>1.3888888888888888E-2</v>
      </c>
      <c r="S40" s="38">
        <v>0.52083333333333337</v>
      </c>
      <c r="T40" s="46">
        <v>0.5625</v>
      </c>
      <c r="U40" s="38">
        <f t="shared" si="4"/>
        <v>0.31944444444444436</v>
      </c>
      <c r="V40" s="39">
        <v>4.1666666666666664E-2</v>
      </c>
      <c r="W40" s="39"/>
      <c r="X40" s="39"/>
      <c r="Y40" s="39"/>
      <c r="Z40" s="39"/>
      <c r="AA40" s="39"/>
      <c r="AB40" s="39"/>
      <c r="AC40" s="40"/>
    </row>
    <row r="41" spans="1:29" ht="24.9" customHeight="1" x14ac:dyDescent="0.3">
      <c r="A41" s="45">
        <v>37</v>
      </c>
      <c r="B41" s="41" t="str">
        <f>IF(E41&lt;&gt;"",INDEX(Datos!D:D,MATCH(TH!E41,Datos!A:A,0)),"")</f>
        <v>TURBO</v>
      </c>
      <c r="C41" s="41" t="str">
        <f>IF(E41&lt;&gt;"",INDEX(Datos!C:C,MATCH(TH!E41,Datos!A:A,0)),"")</f>
        <v>OPERARIO BARRIDO VIAL</v>
      </c>
      <c r="D41" s="23" t="str">
        <f>IF(E41&lt;&gt;"",INDEX(Datos!B:B,MATCH(TH!E41,Datos!A:A,0)),"")</f>
        <v>VITAL SANCHEZ CRISTINA ISABEL</v>
      </c>
      <c r="E41">
        <v>1045519399</v>
      </c>
      <c r="F41" s="35" t="s">
        <v>4</v>
      </c>
      <c r="G41" s="36">
        <v>2026</v>
      </c>
      <c r="H41" s="37">
        <v>9</v>
      </c>
      <c r="I41" s="52" t="s">
        <v>867</v>
      </c>
      <c r="J41" s="52" t="s">
        <v>528</v>
      </c>
      <c r="K41" s="53">
        <v>46154</v>
      </c>
      <c r="L41" s="34" t="s">
        <v>7</v>
      </c>
      <c r="M41" s="38">
        <v>0.20833333333333334</v>
      </c>
      <c r="N41" s="38">
        <v>0.25</v>
      </c>
      <c r="O41" s="38">
        <f t="shared" si="3"/>
        <v>4.1666666666666657E-2</v>
      </c>
      <c r="P41" s="38">
        <v>0.20833333333333334</v>
      </c>
      <c r="Q41" s="38">
        <v>0.5</v>
      </c>
      <c r="R41" s="38">
        <v>1.3888888888888888E-2</v>
      </c>
      <c r="S41" s="38">
        <v>0.52083333333333337</v>
      </c>
      <c r="T41" s="46">
        <v>0.5625</v>
      </c>
      <c r="U41" s="38">
        <f>(Q41-P41)+(T41-S41)-R41</f>
        <v>0.31944444444444436</v>
      </c>
      <c r="V41" s="39">
        <v>4.1666666666666664E-2</v>
      </c>
      <c r="W41" s="39"/>
      <c r="X41" s="39"/>
      <c r="Y41" s="39"/>
      <c r="Z41" s="39"/>
      <c r="AA41" s="39"/>
      <c r="AB41" s="39"/>
      <c r="AC41" s="40"/>
    </row>
    <row r="42" spans="1:29" ht="24.9" customHeight="1" x14ac:dyDescent="0.3">
      <c r="A42" s="44">
        <v>38</v>
      </c>
      <c r="B42" s="41" t="str">
        <f>IF(E42&lt;&gt;"",INDEX(Datos!D:D,MATCH(TH!E42,Datos!A:A,0)),"")</f>
        <v>RELLENO TEJAR</v>
      </c>
      <c r="C42" s="41" t="str">
        <f>IF(E42&lt;&gt;"",INDEX(Datos!C:C,MATCH(TH!E42,Datos!A:A,0)),"")</f>
        <v>OFICIOS VARIOS</v>
      </c>
      <c r="D42" s="23" t="str">
        <f>IF(E42&lt;&gt;"",INDEX(Datos!B:B,MATCH(TH!E42,Datos!A:A,0)),"")</f>
        <v>CASTRO HIGUITA ALVEIRO DE JESUS</v>
      </c>
      <c r="E42">
        <v>71982173</v>
      </c>
      <c r="F42" s="35" t="s">
        <v>4</v>
      </c>
      <c r="G42" s="36">
        <v>2026</v>
      </c>
      <c r="H42" s="37">
        <v>9</v>
      </c>
      <c r="I42" s="52" t="s">
        <v>867</v>
      </c>
      <c r="J42" s="52" t="s">
        <v>528</v>
      </c>
      <c r="K42" s="53">
        <v>46154</v>
      </c>
      <c r="L42" s="34" t="s">
        <v>7</v>
      </c>
      <c r="M42" s="38">
        <v>0.79166666666666663</v>
      </c>
      <c r="N42" s="38">
        <v>0.83333333333333337</v>
      </c>
      <c r="O42" s="38">
        <f t="shared" si="3"/>
        <v>4.1666666666666741E-2</v>
      </c>
      <c r="P42" s="38">
        <v>0.5</v>
      </c>
      <c r="Q42" s="38">
        <v>0</v>
      </c>
      <c r="R42" s="38">
        <v>1.3888888888888888E-2</v>
      </c>
      <c r="S42" s="38">
        <v>0</v>
      </c>
      <c r="T42" s="46">
        <v>0.83333333333333337</v>
      </c>
      <c r="U42" s="38">
        <f>(Q42-P42)+(T42-S42)-R42</f>
        <v>0.31944444444444448</v>
      </c>
      <c r="V42" s="39">
        <v>4.1666666666666664E-2</v>
      </c>
      <c r="W42" s="39"/>
      <c r="X42" s="39"/>
      <c r="Y42" s="39"/>
      <c r="Z42" s="39"/>
      <c r="AA42" s="39"/>
      <c r="AB42" s="39"/>
      <c r="AC42" s="40"/>
    </row>
    <row r="43" spans="1:29" ht="24.9" customHeight="1" x14ac:dyDescent="0.3">
      <c r="A43" s="45">
        <v>39</v>
      </c>
      <c r="B43" s="41" t="str">
        <f>IF(E43&lt;&gt;"",INDEX(Datos!D:D,MATCH(TH!E43,Datos!A:A,0)),"")</f>
        <v>RELLENO TEJAR</v>
      </c>
      <c r="C43" s="41" t="str">
        <f>IF(E43&lt;&gt;"",INDEX(Datos!C:C,MATCH(TH!E43,Datos!A:A,0)),"")</f>
        <v>OPERARIO DISPOSICION FINAL</v>
      </c>
      <c r="D43" s="23" t="str">
        <f>IF(E43&lt;&gt;"",INDEX(Datos!B:B,MATCH(TH!E43,Datos!A:A,0)),"")</f>
        <v>DORIA MEDINA JORGE LUIS</v>
      </c>
      <c r="E43">
        <v>10902301</v>
      </c>
      <c r="F43" s="35" t="s">
        <v>4</v>
      </c>
      <c r="G43" s="36">
        <v>2026</v>
      </c>
      <c r="H43" s="37">
        <v>9</v>
      </c>
      <c r="I43" s="52" t="s">
        <v>991</v>
      </c>
      <c r="J43" s="52" t="s">
        <v>528</v>
      </c>
      <c r="K43" s="53">
        <v>46154</v>
      </c>
      <c r="L43" s="34" t="s">
        <v>7</v>
      </c>
      <c r="M43" s="38">
        <v>0.89583333333333337</v>
      </c>
      <c r="N43" s="38">
        <v>0.99930555555555556</v>
      </c>
      <c r="O43" s="38">
        <f t="shared" si="3"/>
        <v>0.10347222222222219</v>
      </c>
      <c r="P43" s="38">
        <v>46154.895833333336</v>
      </c>
      <c r="Q43" s="38">
        <v>0</v>
      </c>
      <c r="R43" s="38">
        <v>0</v>
      </c>
      <c r="S43" s="38">
        <v>0</v>
      </c>
      <c r="T43" s="46">
        <v>46155.229166666664</v>
      </c>
      <c r="U43" s="38">
        <f t="shared" si="4"/>
        <v>0.33333333332848269</v>
      </c>
      <c r="V43" s="39">
        <v>0.10416666666666667</v>
      </c>
      <c r="W43" s="39"/>
      <c r="X43" s="39"/>
      <c r="Y43" s="39"/>
      <c r="Z43" s="39"/>
      <c r="AA43" s="39"/>
      <c r="AB43" s="39"/>
      <c r="AC43" s="40"/>
    </row>
    <row r="44" spans="1:29" ht="24.9" customHeight="1" x14ac:dyDescent="0.3">
      <c r="A44" s="45">
        <v>40</v>
      </c>
      <c r="B44" s="55" t="str">
        <f>IF(E44&lt;&gt;"",INDEX(Datos!D:D,MATCH(TH!E44,Datos!A:A,0)),"")</f>
        <v>RELLENO TEJAR</v>
      </c>
      <c r="C44" s="55" t="str">
        <f>IF(E44&lt;&gt;"",INDEX(Datos!C:C,MATCH(TH!E44,Datos!A:A,0)),"")</f>
        <v>OPERARIO DISPOSICION FINAL</v>
      </c>
      <c r="D44" s="23" t="str">
        <f>IF(E44&lt;&gt;"",INDEX(Datos!B:B,MATCH(TH!E44,Datos!A:A,0)),"")</f>
        <v>DORIA MEDINA JORGE LUIS</v>
      </c>
      <c r="E44">
        <v>10902301</v>
      </c>
      <c r="F44" s="35" t="s">
        <v>4</v>
      </c>
      <c r="G44" s="36">
        <v>2026</v>
      </c>
      <c r="H44" s="37">
        <v>9</v>
      </c>
      <c r="I44" s="52" t="s">
        <v>999</v>
      </c>
      <c r="J44" s="52" t="s">
        <v>528</v>
      </c>
      <c r="K44" s="53">
        <v>46155</v>
      </c>
      <c r="L44" s="34" t="s">
        <v>7</v>
      </c>
      <c r="M44" s="38">
        <v>0</v>
      </c>
      <c r="N44" s="46">
        <v>0.22916666666666666</v>
      </c>
      <c r="O44" s="38">
        <f t="shared" si="3"/>
        <v>0.22916666666666666</v>
      </c>
      <c r="P44" s="38">
        <v>46154.895833333336</v>
      </c>
      <c r="Q44" s="38">
        <v>0</v>
      </c>
      <c r="R44" s="38">
        <v>0</v>
      </c>
      <c r="S44" s="38">
        <v>0</v>
      </c>
      <c r="T44" s="46">
        <v>46155.229166666664</v>
      </c>
      <c r="U44" s="38">
        <f t="shared" si="4"/>
        <v>0.33333333332848269</v>
      </c>
      <c r="V44" s="39">
        <v>0.22916666666666666</v>
      </c>
      <c r="W44" s="39"/>
      <c r="X44" s="39"/>
      <c r="Y44" s="39"/>
      <c r="Z44" s="39"/>
      <c r="AA44" s="39"/>
      <c r="AB44" s="39"/>
      <c r="AC44" s="40"/>
    </row>
    <row r="45" spans="1:29" s="54" customFormat="1" ht="24.9" customHeight="1" x14ac:dyDescent="0.3">
      <c r="A45" s="44">
        <v>41</v>
      </c>
      <c r="B45" s="41" t="str">
        <f>IF(E45&lt;&gt;"",INDEX(Datos!D:D,MATCH(TH!E45,Datos!A:A,0)),"")</f>
        <v xml:space="preserve">ADMINISTRATIVA RELLENO </v>
      </c>
      <c r="C45" s="41" t="str">
        <f>IF(E45&lt;&gt;"",INDEX(Datos!C:C,MATCH(TH!E45,Datos!A:A,0)),"")</f>
        <v>AUXILIAR BASCULA</v>
      </c>
      <c r="D45" s="23" t="str">
        <f>IF(E45&lt;&gt;"",INDEX(Datos!B:B,MATCH(TH!E45,Datos!A:A,0)),"")</f>
        <v>MENDOZA PERTUZ FABIAN ALBERTO</v>
      </c>
      <c r="E45">
        <v>1068821818</v>
      </c>
      <c r="F45" s="35" t="s">
        <v>15</v>
      </c>
      <c r="G45" s="36">
        <v>2026</v>
      </c>
      <c r="H45" s="37">
        <v>9</v>
      </c>
      <c r="I45" s="52" t="s">
        <v>868</v>
      </c>
      <c r="J45" s="52" t="s">
        <v>528</v>
      </c>
      <c r="K45" s="53">
        <v>46154</v>
      </c>
      <c r="L45" s="34" t="s">
        <v>7</v>
      </c>
      <c r="M45" s="38">
        <v>0.77083333333333337</v>
      </c>
      <c r="N45" s="38">
        <v>0.85416666666666663</v>
      </c>
      <c r="O45" s="38">
        <f t="shared" si="3"/>
        <v>8.3333333333333259E-2</v>
      </c>
      <c r="P45" s="38">
        <v>0.45833333333333331</v>
      </c>
      <c r="Q45" s="38">
        <v>0</v>
      </c>
      <c r="R45" s="38">
        <v>0</v>
      </c>
      <c r="S45" s="38">
        <v>0</v>
      </c>
      <c r="T45" s="46">
        <v>0.85416666666666663</v>
      </c>
      <c r="U45" s="38">
        <f t="shared" si="4"/>
        <v>0.39583333333333331</v>
      </c>
      <c r="V45" s="39"/>
      <c r="W45" s="39"/>
      <c r="X45" s="39"/>
      <c r="Y45" s="39">
        <v>8.3333333333333329E-2</v>
      </c>
      <c r="Z45" s="39"/>
      <c r="AA45" s="39"/>
      <c r="AB45" s="39"/>
      <c r="AC45" s="40"/>
    </row>
    <row r="46" spans="1:29" s="54" customFormat="1" ht="24.9" customHeight="1" x14ac:dyDescent="0.3">
      <c r="A46" s="44">
        <v>42</v>
      </c>
      <c r="B46" s="41" t="str">
        <f>IF(E46&lt;&gt;"",INDEX(Datos!D:D,MATCH(TH!E46,Datos!A:A,0)),"")</f>
        <v>RELLENO TEJAR</v>
      </c>
      <c r="C46" s="41" t="str">
        <f>IF(E46&lt;&gt;"",INDEX(Datos!C:C,MATCH(TH!E46,Datos!A:A,0)),"")</f>
        <v>OPERARIO DISPOSICION FINAL</v>
      </c>
      <c r="D46" s="23" t="str">
        <f>IF(E46&lt;&gt;"",INDEX(Datos!B:B,MATCH(TH!E46,Datos!A:A,0)),"")</f>
        <v>PINEDA MONTIEL HERNAN JOSE</v>
      </c>
      <c r="E46">
        <v>71976132</v>
      </c>
      <c r="F46" s="35" t="s">
        <v>4</v>
      </c>
      <c r="G46" s="36">
        <v>2026</v>
      </c>
      <c r="H46" s="37">
        <v>9</v>
      </c>
      <c r="I46" s="52" t="s">
        <v>991</v>
      </c>
      <c r="J46" s="52" t="s">
        <v>528</v>
      </c>
      <c r="K46" s="53">
        <v>46154</v>
      </c>
      <c r="L46" s="34" t="s">
        <v>7</v>
      </c>
      <c r="M46" s="38">
        <v>0.79166666666666663</v>
      </c>
      <c r="N46" s="38">
        <v>0.89583333333333337</v>
      </c>
      <c r="O46" s="38">
        <f t="shared" si="3"/>
        <v>0.10416666666666674</v>
      </c>
      <c r="P46" s="38">
        <v>0.58333333333333337</v>
      </c>
      <c r="Q46" s="38">
        <v>0</v>
      </c>
      <c r="R46" s="38">
        <v>0</v>
      </c>
      <c r="S46" s="38">
        <v>0</v>
      </c>
      <c r="T46" s="46">
        <v>0.89583333333333337</v>
      </c>
      <c r="U46" s="38">
        <f t="shared" si="4"/>
        <v>0.3125</v>
      </c>
      <c r="V46" s="39">
        <v>0.10416666666666667</v>
      </c>
      <c r="W46" s="39"/>
      <c r="X46" s="39"/>
      <c r="Y46" s="39"/>
      <c r="Z46" s="39"/>
      <c r="AA46" s="39"/>
      <c r="AB46" s="39"/>
      <c r="AC46" s="58"/>
    </row>
    <row r="47" spans="1:29" ht="24.9" customHeight="1" x14ac:dyDescent="0.3">
      <c r="A47" s="45">
        <v>43</v>
      </c>
      <c r="B47" s="57" t="str">
        <f>IF(E47&lt;&gt;"",INDEX(Datos!D:D,MATCH(TH!E47,Datos!A:A,0)),"")</f>
        <v>RELLENO TEJAR</v>
      </c>
      <c r="C47" s="57" t="str">
        <f>IF(E47&lt;&gt;"",INDEX(Datos!C:C,MATCH(TH!E47,Datos!A:A,0)),"")</f>
        <v>OPERARIO DE MAQUINARIA</v>
      </c>
      <c r="D47" s="23" t="str">
        <f>IF(E47&lt;&gt;"",INDEX(Datos!B:B,MATCH(TH!E47,Datos!A:A,0)),"")</f>
        <v>SOCARRAS MESTRA RAFAEL ANTONIO</v>
      </c>
      <c r="E47">
        <v>78699356</v>
      </c>
      <c r="F47" s="35" t="s">
        <v>4</v>
      </c>
      <c r="G47" s="36">
        <v>2026</v>
      </c>
      <c r="H47" s="37">
        <v>9</v>
      </c>
      <c r="I47" s="52" t="s">
        <v>991</v>
      </c>
      <c r="J47" s="52" t="s">
        <v>528</v>
      </c>
      <c r="K47" s="53">
        <v>46154</v>
      </c>
      <c r="L47" s="34" t="s">
        <v>7</v>
      </c>
      <c r="M47" s="38">
        <v>0.79166666666666663</v>
      </c>
      <c r="N47" s="38">
        <v>0.89583333333333337</v>
      </c>
      <c r="O47" s="38">
        <f t="shared" si="3"/>
        <v>0.10416666666666674</v>
      </c>
      <c r="P47" s="38">
        <v>0.58333333333333337</v>
      </c>
      <c r="Q47" s="38">
        <v>0</v>
      </c>
      <c r="R47" s="38">
        <v>0</v>
      </c>
      <c r="S47" s="38">
        <v>0</v>
      </c>
      <c r="T47" s="46">
        <v>0.89583333333333337</v>
      </c>
      <c r="U47" s="38">
        <f t="shared" si="4"/>
        <v>0.3125</v>
      </c>
      <c r="V47" s="39">
        <v>0.10416666666666667</v>
      </c>
      <c r="W47" s="39"/>
      <c r="X47" s="39"/>
      <c r="Y47" s="39"/>
      <c r="Z47" s="39"/>
      <c r="AA47" s="39"/>
      <c r="AB47" s="39"/>
      <c r="AC47" s="40"/>
    </row>
    <row r="48" spans="1:29" ht="24.9" customHeight="1" x14ac:dyDescent="0.3">
      <c r="A48" s="44">
        <v>44</v>
      </c>
      <c r="B48" s="41" t="str">
        <f>IF(E48&lt;&gt;"",INDEX(Datos!D:D,MATCH(TH!E48,Datos!A:A,0)),"")</f>
        <v>RELLENO TEJAR</v>
      </c>
      <c r="C48" s="41" t="str">
        <f>IF(E48&lt;&gt;"",INDEX(Datos!C:C,MATCH(TH!E48,Datos!A:A,0)),"")</f>
        <v>OPERARIO DISPOSICION FINAL</v>
      </c>
      <c r="D48" s="23" t="str">
        <f>IF(E48&lt;&gt;"",INDEX(Datos!B:B,MATCH(TH!E48,Datos!A:A,0)),"")</f>
        <v>SOSA ALVAREZ LUIS EMILIO</v>
      </c>
      <c r="E48">
        <v>1045490293</v>
      </c>
      <c r="F48" s="35" t="s">
        <v>15</v>
      </c>
      <c r="G48" s="36">
        <v>2026</v>
      </c>
      <c r="H48" s="37">
        <v>9</v>
      </c>
      <c r="I48" s="52" t="s">
        <v>868</v>
      </c>
      <c r="J48" s="52" t="s">
        <v>528</v>
      </c>
      <c r="K48" s="53">
        <v>46154</v>
      </c>
      <c r="L48" s="34" t="s">
        <v>7</v>
      </c>
      <c r="M48" s="38">
        <v>0.64583333333333337</v>
      </c>
      <c r="N48" s="46">
        <v>0.72916666666666663</v>
      </c>
      <c r="O48" s="38">
        <f t="shared" si="3"/>
        <v>8.3333333333333259E-2</v>
      </c>
      <c r="P48" s="38">
        <v>0.29166666666666669</v>
      </c>
      <c r="Q48" s="38">
        <v>0.5</v>
      </c>
      <c r="R48" s="38">
        <v>1.3888888888888888E-2</v>
      </c>
      <c r="S48" s="38">
        <v>0.52083333333333337</v>
      </c>
      <c r="T48" s="46">
        <v>0.72916666666666663</v>
      </c>
      <c r="U48" s="38">
        <f t="shared" si="4"/>
        <v>0.40277777777777768</v>
      </c>
      <c r="V48" s="39"/>
      <c r="W48" s="39"/>
      <c r="X48" s="39"/>
      <c r="Y48" s="39">
        <v>8.3333333333333329E-2</v>
      </c>
      <c r="Z48" s="39"/>
      <c r="AA48" s="39"/>
      <c r="AB48" s="39"/>
      <c r="AC48" s="40"/>
    </row>
    <row r="49" spans="1:29" ht="24.9" customHeight="1" x14ac:dyDescent="0.3">
      <c r="A49" s="45">
        <v>45</v>
      </c>
      <c r="B49" s="41" t="str">
        <f>IF(E49&lt;&gt;"",INDEX(Datos!D:D,MATCH(TH!E49,Datos!A:A,0)),"")</f>
        <v>APARTADO</v>
      </c>
      <c r="C49" s="41" t="str">
        <f>IF(E49&lt;&gt;"",INDEX(Datos!C:C,MATCH(TH!E49,Datos!A:A,0)),"")</f>
        <v>OPERARIO BARRIDO VIAL</v>
      </c>
      <c r="D49" s="23" t="str">
        <f>IF(E49&lt;&gt;"",INDEX(Datos!B:B,MATCH(TH!E49,Datos!A:A,0)),"")</f>
        <v>ARRIETA MUÑOZ CARLOS ANDRES</v>
      </c>
      <c r="E49">
        <v>1192781889</v>
      </c>
      <c r="F49" s="35" t="s">
        <v>4</v>
      </c>
      <c r="G49" s="36">
        <v>2026</v>
      </c>
      <c r="H49" s="37">
        <v>9</v>
      </c>
      <c r="I49" s="52" t="s">
        <v>867</v>
      </c>
      <c r="J49" s="52" t="s">
        <v>528</v>
      </c>
      <c r="K49" s="53">
        <v>46154</v>
      </c>
      <c r="L49" s="34" t="s">
        <v>7</v>
      </c>
      <c r="M49" s="38">
        <v>0.20833333333333334</v>
      </c>
      <c r="N49" s="38">
        <v>0.25</v>
      </c>
      <c r="O49" s="38">
        <f t="shared" si="3"/>
        <v>4.1666666666666657E-2</v>
      </c>
      <c r="P49" s="38">
        <v>0.20833333333333334</v>
      </c>
      <c r="Q49" s="38">
        <v>0.5</v>
      </c>
      <c r="R49" s="38">
        <v>1.3888888888888888E-2</v>
      </c>
      <c r="S49" s="38">
        <v>0.52083333333333337</v>
      </c>
      <c r="T49" s="46">
        <v>0.5625</v>
      </c>
      <c r="U49" s="38">
        <f>(Q49-P49)+(T49-S49)-R49</f>
        <v>0.31944444444444436</v>
      </c>
      <c r="V49" s="39">
        <v>4.1666666666666664E-2</v>
      </c>
      <c r="W49" s="39"/>
      <c r="X49" s="39"/>
      <c r="Y49" s="39"/>
      <c r="Z49" s="39"/>
      <c r="AA49" s="39"/>
      <c r="AB49" s="39"/>
      <c r="AC49" s="40"/>
    </row>
    <row r="50" spans="1:29" ht="24.9" customHeight="1" x14ac:dyDescent="0.3">
      <c r="A50" s="45">
        <v>46</v>
      </c>
      <c r="B50" s="41" t="str">
        <f>IF(E50&lt;&gt;"",INDEX(Datos!D:D,MATCH(TH!E50,Datos!A:A,0)),"")</f>
        <v>APARTADO</v>
      </c>
      <c r="C50" s="41" t="str">
        <f>IF(E50&lt;&gt;"",INDEX(Datos!C:C,MATCH(TH!E50,Datos!A:A,0)),"")</f>
        <v>OPERARIO RECOLECCION Y B.V</v>
      </c>
      <c r="D50" s="23" t="str">
        <f>IF(E50&lt;&gt;"",INDEX(Datos!B:B,MATCH(TH!E50,Datos!A:A,0)),"")</f>
        <v>BERNAL ORTEGA CRISTIAN CAMILO</v>
      </c>
      <c r="E50">
        <v>1028004993</v>
      </c>
      <c r="F50" s="35" t="s">
        <v>4</v>
      </c>
      <c r="G50" s="36">
        <v>2026</v>
      </c>
      <c r="H50" s="37">
        <v>9</v>
      </c>
      <c r="I50" s="52" t="s">
        <v>867</v>
      </c>
      <c r="J50" s="52" t="s">
        <v>528</v>
      </c>
      <c r="K50" s="53">
        <v>46154</v>
      </c>
      <c r="L50" s="34" t="s">
        <v>7</v>
      </c>
      <c r="M50" s="38">
        <v>0.20833333333333334</v>
      </c>
      <c r="N50" s="38">
        <v>0.25</v>
      </c>
      <c r="O50" s="38">
        <f t="shared" si="3"/>
        <v>4.1666666666666657E-2</v>
      </c>
      <c r="P50" s="38">
        <v>0.20833333333333334</v>
      </c>
      <c r="Q50" s="38">
        <v>0.5</v>
      </c>
      <c r="R50" s="38">
        <v>1.3888888888888888E-2</v>
      </c>
      <c r="S50" s="38">
        <v>0.52083333333333337</v>
      </c>
      <c r="T50" s="46">
        <v>0.5625</v>
      </c>
      <c r="U50" s="38">
        <f>(Q50-P50)+(T50-S50)-R50</f>
        <v>0.31944444444444436</v>
      </c>
      <c r="V50" s="39">
        <v>4.1666666666666664E-2</v>
      </c>
      <c r="W50" s="39"/>
      <c r="X50" s="39"/>
      <c r="Y50" s="39"/>
      <c r="Z50" s="39"/>
      <c r="AA50" s="39"/>
      <c r="AB50" s="39"/>
      <c r="AC50" s="40"/>
    </row>
    <row r="51" spans="1:29" ht="24.9" customHeight="1" x14ac:dyDescent="0.3">
      <c r="A51" s="44">
        <v>47</v>
      </c>
      <c r="B51" s="41" t="str">
        <f>IF(E51&lt;&gt;"",INDEX(Datos!D:D,MATCH(TH!E51,Datos!A:A,0)),"")</f>
        <v>APARTADO</v>
      </c>
      <c r="C51" s="41" t="str">
        <f>IF(E51&lt;&gt;"",INDEX(Datos!C:C,MATCH(TH!E51,Datos!A:A,0)),"")</f>
        <v>OPERARIO BARRIDO VIAL</v>
      </c>
      <c r="D51" s="23" t="str">
        <f>IF(E51&lt;&gt;"",INDEX(Datos!B:B,MATCH(TH!E51,Datos!A:A,0)),"")</f>
        <v>CANTERO GONZALEZ UBEIMAR DE JESUS</v>
      </c>
      <c r="E51">
        <v>11001896</v>
      </c>
      <c r="F51" s="35" t="s">
        <v>4</v>
      </c>
      <c r="G51" s="36">
        <v>2026</v>
      </c>
      <c r="H51" s="37">
        <v>9</v>
      </c>
      <c r="I51" s="52" t="s">
        <v>867</v>
      </c>
      <c r="J51" s="52" t="s">
        <v>528</v>
      </c>
      <c r="K51" s="53">
        <v>46154</v>
      </c>
      <c r="L51" s="34" t="s">
        <v>7</v>
      </c>
      <c r="M51" s="38">
        <v>0.20833333333333334</v>
      </c>
      <c r="N51" s="38">
        <v>0.25</v>
      </c>
      <c r="O51" s="38">
        <f t="shared" si="3"/>
        <v>4.1666666666666657E-2</v>
      </c>
      <c r="P51" s="38">
        <v>0.20833333333333334</v>
      </c>
      <c r="Q51" s="38">
        <v>0.5</v>
      </c>
      <c r="R51" s="38">
        <v>1.3888888888888888E-2</v>
      </c>
      <c r="S51" s="38">
        <v>0.52083333333333337</v>
      </c>
      <c r="T51" s="46">
        <v>0.5625</v>
      </c>
      <c r="U51" s="38">
        <f>(Q51-P51)+(T51-S51)-R51</f>
        <v>0.31944444444444436</v>
      </c>
      <c r="V51" s="39">
        <v>4.1666666666666664E-2</v>
      </c>
      <c r="W51" s="39"/>
      <c r="X51" s="39"/>
      <c r="Y51" s="39"/>
      <c r="Z51" s="39"/>
      <c r="AA51" s="39"/>
      <c r="AB51" s="39"/>
      <c r="AC51" s="40"/>
    </row>
    <row r="52" spans="1:29" ht="24.9" customHeight="1" x14ac:dyDescent="0.3">
      <c r="A52" s="44">
        <v>48</v>
      </c>
      <c r="B52" s="41" t="str">
        <f>IF(E52&lt;&gt;"",INDEX(Datos!D:D,MATCH(TH!E52,Datos!A:A,0)),"")</f>
        <v>APARTADO</v>
      </c>
      <c r="C52" s="41" t="str">
        <f>IF(E52&lt;&gt;"",INDEX(Datos!C:C,MATCH(TH!E52,Datos!A:A,0)),"")</f>
        <v>OPERARIO BARRIDO VIAL</v>
      </c>
      <c r="D52" s="23" t="str">
        <f>IF(E52&lt;&gt;"",INDEX(Datos!B:B,MATCH(TH!E52,Datos!A:A,0)),"")</f>
        <v>DE LAS AGUAS JHON ALEXANDER</v>
      </c>
      <c r="E52">
        <v>1083461081</v>
      </c>
      <c r="F52" s="35" t="s">
        <v>4</v>
      </c>
      <c r="G52" s="36">
        <v>2026</v>
      </c>
      <c r="H52" s="37">
        <v>9</v>
      </c>
      <c r="I52" s="52" t="s">
        <v>867</v>
      </c>
      <c r="J52" s="52" t="s">
        <v>528</v>
      </c>
      <c r="K52" s="53">
        <v>46154</v>
      </c>
      <c r="L52" s="34" t="s">
        <v>7</v>
      </c>
      <c r="M52" s="38">
        <v>0.20833333333333334</v>
      </c>
      <c r="N52" s="38">
        <v>0.25</v>
      </c>
      <c r="O52" s="38">
        <f t="shared" si="3"/>
        <v>4.1666666666666657E-2</v>
      </c>
      <c r="P52" s="38">
        <v>0.20833333333333334</v>
      </c>
      <c r="Q52" s="38">
        <v>0.5</v>
      </c>
      <c r="R52" s="38">
        <v>1.3888888888888888E-2</v>
      </c>
      <c r="S52" s="38">
        <v>0.52083333333333337</v>
      </c>
      <c r="T52" s="46">
        <v>0.5625</v>
      </c>
      <c r="U52" s="38">
        <f>(Q52-P52)+(T52-S52)-R52</f>
        <v>0.31944444444444436</v>
      </c>
      <c r="V52" s="39">
        <v>4.1666666666666664E-2</v>
      </c>
      <c r="W52" s="39"/>
      <c r="X52" s="39"/>
      <c r="Y52" s="39"/>
      <c r="Z52" s="39"/>
      <c r="AA52" s="39"/>
      <c r="AB52" s="39"/>
      <c r="AC52" s="40"/>
    </row>
    <row r="53" spans="1:29" ht="24.9" customHeight="1" x14ac:dyDescent="0.3">
      <c r="A53" s="45">
        <v>49</v>
      </c>
      <c r="B53" s="41" t="str">
        <f>IF(E53&lt;&gt;"",INDEX(Datos!D:D,MATCH(TH!E53,Datos!A:A,0)),"")</f>
        <v>APARTADO</v>
      </c>
      <c r="C53" s="41" t="str">
        <f>IF(E53&lt;&gt;"",INDEX(Datos!C:C,MATCH(TH!E53,Datos!A:A,0)),"")</f>
        <v>OPERARIO RECOLECCION Y B.V</v>
      </c>
      <c r="D53" s="23" t="str">
        <f>IF(E53&lt;&gt;"",INDEX(Datos!B:B,MATCH(TH!E53,Datos!A:A,0)),"")</f>
        <v>JULIO OJEDA UBEIMAR</v>
      </c>
      <c r="E53">
        <v>1028021199</v>
      </c>
      <c r="F53" s="35" t="s">
        <v>4</v>
      </c>
      <c r="G53" s="36">
        <v>2026</v>
      </c>
      <c r="H53" s="37">
        <v>9</v>
      </c>
      <c r="I53" s="52" t="s">
        <v>867</v>
      </c>
      <c r="J53" s="52" t="s">
        <v>528</v>
      </c>
      <c r="K53" s="53">
        <v>46154</v>
      </c>
      <c r="L53" s="34" t="s">
        <v>7</v>
      </c>
      <c r="M53" s="38">
        <v>0.20833333333333334</v>
      </c>
      <c r="N53" s="38">
        <v>0.25</v>
      </c>
      <c r="O53" s="38">
        <f t="shared" si="3"/>
        <v>4.1666666666666657E-2</v>
      </c>
      <c r="P53" s="38">
        <v>0.20833333333333334</v>
      </c>
      <c r="Q53" s="38">
        <v>0.5</v>
      </c>
      <c r="R53" s="38">
        <v>1.3888888888888888E-2</v>
      </c>
      <c r="S53" s="38">
        <v>0.52083333333333337</v>
      </c>
      <c r="T53" s="46">
        <v>0.5625</v>
      </c>
      <c r="U53" s="38">
        <f>(Q53-P53)+(T53-S53)-R53</f>
        <v>0.31944444444444436</v>
      </c>
      <c r="V53" s="39">
        <v>4.1666666666666664E-2</v>
      </c>
      <c r="W53" s="39"/>
      <c r="X53" s="39"/>
      <c r="Y53" s="39"/>
      <c r="Z53" s="39"/>
      <c r="AA53" s="39"/>
      <c r="AB53" s="39"/>
      <c r="AC53" s="40"/>
    </row>
    <row r="54" spans="1:29" ht="24" customHeight="1" x14ac:dyDescent="0.3">
      <c r="A54" s="44">
        <v>50</v>
      </c>
      <c r="B54" s="41" t="str">
        <f>IF(E54&lt;&gt;"",INDEX(Datos!D:D,MATCH(TH!E54,Datos!A:A,0)),"")</f>
        <v>APARTADO</v>
      </c>
      <c r="C54" s="41" t="str">
        <f>IF(E54&lt;&gt;"",INDEX(Datos!C:C,MATCH(TH!E54,Datos!A:A,0)),"")</f>
        <v>SUPERNUMERARIO RECOLECCION</v>
      </c>
      <c r="D54" s="23" t="str">
        <f>IF(E54&lt;&gt;"",INDEX(Datos!B:B,MATCH(TH!E54,Datos!A:A,0)),"")</f>
        <v>LUGO LOPEZ JUAN DAVID</v>
      </c>
      <c r="E54">
        <v>1072746555</v>
      </c>
      <c r="F54" s="35" t="s">
        <v>4</v>
      </c>
      <c r="G54" s="36">
        <v>2026</v>
      </c>
      <c r="H54" s="37">
        <v>9</v>
      </c>
      <c r="I54" s="52" t="s">
        <v>867</v>
      </c>
      <c r="J54" s="52" t="s">
        <v>528</v>
      </c>
      <c r="K54" s="53">
        <v>46154</v>
      </c>
      <c r="L54" s="34" t="s">
        <v>7</v>
      </c>
      <c r="M54" s="38">
        <v>0.20833333333333334</v>
      </c>
      <c r="N54" s="38">
        <v>0.25</v>
      </c>
      <c r="O54" s="38">
        <f t="shared" si="3"/>
        <v>4.1666666666666657E-2</v>
      </c>
      <c r="P54" s="38">
        <v>0.20833333333333334</v>
      </c>
      <c r="Q54" s="38">
        <v>0.5</v>
      </c>
      <c r="R54" s="38">
        <v>1.3888888888888888E-2</v>
      </c>
      <c r="S54" s="38">
        <v>0.52083333333333337</v>
      </c>
      <c r="T54" s="46">
        <v>0.5625</v>
      </c>
      <c r="U54" s="38">
        <f t="shared" si="4"/>
        <v>0.31944444444444436</v>
      </c>
      <c r="V54" s="39">
        <v>4.1666666666666664E-2</v>
      </c>
      <c r="W54" s="39"/>
      <c r="X54" s="39"/>
      <c r="Y54" s="39"/>
      <c r="Z54" s="39"/>
      <c r="AA54" s="39"/>
      <c r="AB54" s="39"/>
      <c r="AC54" s="40"/>
    </row>
    <row r="55" spans="1:29" ht="24.9" customHeight="1" x14ac:dyDescent="0.3">
      <c r="A55" s="45">
        <v>51</v>
      </c>
      <c r="B55" s="41" t="str">
        <f>IF(E55&lt;&gt;"",INDEX(Datos!D:D,MATCH(TH!E55,Datos!A:A,0)),"")</f>
        <v>APARTADO</v>
      </c>
      <c r="C55" s="41" t="str">
        <f>IF(E55&lt;&gt;"",INDEX(Datos!C:C,MATCH(TH!E55,Datos!A:A,0)),"")</f>
        <v>OPERARIO DE BARRIDO VIAL</v>
      </c>
      <c r="D55" s="23" t="str">
        <f>IF(E55&lt;&gt;"",INDEX(Datos!B:B,MATCH(TH!E55,Datos!A:A,0)),"")</f>
        <v>MENA CORDOBA MAIRA PATRICIA</v>
      </c>
      <c r="E55">
        <v>1028002725</v>
      </c>
      <c r="F55" s="35" t="s">
        <v>4</v>
      </c>
      <c r="G55" s="36">
        <v>2026</v>
      </c>
      <c r="H55" s="37">
        <v>9</v>
      </c>
      <c r="I55" s="52" t="s">
        <v>867</v>
      </c>
      <c r="J55" s="52" t="s">
        <v>528</v>
      </c>
      <c r="K55" s="53">
        <v>46154</v>
      </c>
      <c r="L55" s="34" t="s">
        <v>7</v>
      </c>
      <c r="M55" s="38">
        <v>0.20833333333333334</v>
      </c>
      <c r="N55" s="38">
        <v>0.25</v>
      </c>
      <c r="O55" s="38">
        <f t="shared" si="3"/>
        <v>4.1666666666666657E-2</v>
      </c>
      <c r="P55" s="38">
        <v>0.20833333333333334</v>
      </c>
      <c r="Q55" s="38">
        <v>0.5</v>
      </c>
      <c r="R55" s="38">
        <v>1.3888888888888888E-2</v>
      </c>
      <c r="S55" s="38">
        <v>0.52083333333333337</v>
      </c>
      <c r="T55" s="46">
        <v>0.5625</v>
      </c>
      <c r="U55" s="38">
        <f t="shared" ref="U55:U60" si="5">(Q55-P55)+(T55-S55)-R55</f>
        <v>0.31944444444444436</v>
      </c>
      <c r="V55" s="39">
        <v>4.1666666666666664E-2</v>
      </c>
      <c r="W55" s="39"/>
      <c r="X55" s="39"/>
      <c r="Y55" s="39"/>
      <c r="Z55" s="39"/>
      <c r="AA55" s="39"/>
      <c r="AB55" s="39"/>
      <c r="AC55" s="40"/>
    </row>
    <row r="56" spans="1:29" ht="24.9" customHeight="1" x14ac:dyDescent="0.3">
      <c r="A56" s="45">
        <v>52</v>
      </c>
      <c r="B56" s="41" t="str">
        <f>IF(E56&lt;&gt;"",INDEX(Datos!D:D,MATCH(TH!E56,Datos!A:A,0)),"")</f>
        <v>APARTADO</v>
      </c>
      <c r="C56" s="41" t="str">
        <f>IF(E56&lt;&gt;"",INDEX(Datos!C:C,MATCH(TH!E56,Datos!A:A,0)),"")</f>
        <v>OPERARIO BARRIDO VIAL</v>
      </c>
      <c r="D56" s="23" t="str">
        <f>IF(E56&lt;&gt;"",INDEX(Datos!B:B,MATCH(TH!E56,Datos!A:A,0)),"")</f>
        <v>MENA MOSQUERA MILDREY</v>
      </c>
      <c r="E56">
        <v>39422077</v>
      </c>
      <c r="F56" s="35" t="s">
        <v>4</v>
      </c>
      <c r="G56" s="36">
        <v>2026</v>
      </c>
      <c r="H56" s="37">
        <v>9</v>
      </c>
      <c r="I56" s="52" t="s">
        <v>867</v>
      </c>
      <c r="J56" s="52" t="s">
        <v>528</v>
      </c>
      <c r="K56" s="53">
        <v>46154</v>
      </c>
      <c r="L56" s="34" t="s">
        <v>7</v>
      </c>
      <c r="M56" s="38">
        <v>0.20833333333333334</v>
      </c>
      <c r="N56" s="38">
        <v>0.25</v>
      </c>
      <c r="O56" s="38">
        <f t="shared" si="3"/>
        <v>4.1666666666666657E-2</v>
      </c>
      <c r="P56" s="38">
        <v>0.20833333333333334</v>
      </c>
      <c r="Q56" s="38">
        <v>0.5</v>
      </c>
      <c r="R56" s="38">
        <v>1.3888888888888888E-2</v>
      </c>
      <c r="S56" s="38">
        <v>0.52083333333333337</v>
      </c>
      <c r="T56" s="46">
        <v>0.5625</v>
      </c>
      <c r="U56" s="38">
        <f t="shared" si="5"/>
        <v>0.31944444444444436</v>
      </c>
      <c r="V56" s="39">
        <v>4.1666666666666664E-2</v>
      </c>
      <c r="W56" s="39"/>
      <c r="X56" s="39"/>
      <c r="Y56" s="39"/>
      <c r="Z56" s="39"/>
      <c r="AA56" s="39"/>
      <c r="AB56" s="39"/>
      <c r="AC56" s="40"/>
    </row>
    <row r="57" spans="1:29" ht="24.9" customHeight="1" x14ac:dyDescent="0.3">
      <c r="A57" s="44">
        <v>53</v>
      </c>
      <c r="B57" s="41" t="str">
        <f>IF(E57&lt;&gt;"",INDEX(Datos!D:D,MATCH(TH!E57,Datos!A:A,0)),"")</f>
        <v>APARTADO</v>
      </c>
      <c r="C57" s="41" t="str">
        <f>IF(E57&lt;&gt;"",INDEX(Datos!C:C,MATCH(TH!E57,Datos!A:A,0)),"")</f>
        <v>OPERARIO RECOLECCION Y B.V</v>
      </c>
      <c r="D57" s="23" t="str">
        <f>IF(E57&lt;&gt;"",INDEX(Datos!B:B,MATCH(TH!E57,Datos!A:A,0)),"")</f>
        <v>MENDOZA SANGUINO YAMID ARLEY</v>
      </c>
      <c r="E57">
        <v>1090507660</v>
      </c>
      <c r="F57" s="35" t="s">
        <v>4</v>
      </c>
      <c r="G57" s="36">
        <v>2026</v>
      </c>
      <c r="H57" s="37">
        <v>9</v>
      </c>
      <c r="I57" s="52" t="s">
        <v>867</v>
      </c>
      <c r="J57" s="52" t="s">
        <v>528</v>
      </c>
      <c r="K57" s="53">
        <v>46154</v>
      </c>
      <c r="L57" s="34" t="s">
        <v>7</v>
      </c>
      <c r="M57" s="38">
        <v>0.20833333333333334</v>
      </c>
      <c r="N57" s="38">
        <v>0.25</v>
      </c>
      <c r="O57" s="38">
        <f>+N57-M57</f>
        <v>4.1666666666666657E-2</v>
      </c>
      <c r="P57" s="38">
        <v>0.20833333333333334</v>
      </c>
      <c r="Q57" s="38">
        <v>0.5</v>
      </c>
      <c r="R57" s="38">
        <v>1.3888888888888888E-2</v>
      </c>
      <c r="S57" s="38">
        <v>0.52083333333333337</v>
      </c>
      <c r="T57" s="46">
        <v>0.5625</v>
      </c>
      <c r="U57" s="38">
        <f t="shared" si="5"/>
        <v>0.31944444444444436</v>
      </c>
      <c r="V57" s="39">
        <v>4.1666666666666664E-2</v>
      </c>
      <c r="W57" s="39"/>
      <c r="X57" s="39"/>
      <c r="Y57" s="39"/>
      <c r="Z57" s="39"/>
      <c r="AA57" s="39"/>
      <c r="AB57" s="39"/>
      <c r="AC57" s="40"/>
    </row>
    <row r="58" spans="1:29" ht="24.9" customHeight="1" x14ac:dyDescent="0.3">
      <c r="A58" s="44">
        <v>54</v>
      </c>
      <c r="B58" s="41" t="str">
        <f>IF(E58&lt;&gt;"",INDEX(Datos!D:D,MATCH(TH!E58,Datos!A:A,0)),"")</f>
        <v>APARTADO</v>
      </c>
      <c r="C58" s="41" t="str">
        <f>IF(E58&lt;&gt;"",INDEX(Datos!C:C,MATCH(TH!E58,Datos!A:A,0)),"")</f>
        <v>OPERARIO RECOLECCION Y B.V</v>
      </c>
      <c r="D58" s="23" t="str">
        <f>IF(E58&lt;&gt;"",INDEX(Datos!B:B,MATCH(TH!E58,Datos!A:A,0)),"")</f>
        <v>NARVAEZ VERGARA CRISTIAN ANDRES</v>
      </c>
      <c r="E58">
        <v>1001747625</v>
      </c>
      <c r="F58" s="35" t="s">
        <v>4</v>
      </c>
      <c r="G58" s="36">
        <v>2026</v>
      </c>
      <c r="H58" s="37">
        <v>9</v>
      </c>
      <c r="I58" s="52" t="s">
        <v>867</v>
      </c>
      <c r="J58" s="52" t="s">
        <v>528</v>
      </c>
      <c r="K58" s="53">
        <v>46154</v>
      </c>
      <c r="L58" s="34" t="s">
        <v>7</v>
      </c>
      <c r="M58" s="38">
        <v>0.20833333333333334</v>
      </c>
      <c r="N58" s="38">
        <v>0.25</v>
      </c>
      <c r="O58" s="38">
        <f t="shared" si="3"/>
        <v>4.1666666666666657E-2</v>
      </c>
      <c r="P58" s="38">
        <v>0.20833333333333334</v>
      </c>
      <c r="Q58" s="38">
        <v>0.5</v>
      </c>
      <c r="R58" s="38">
        <v>1.3888888888888888E-2</v>
      </c>
      <c r="S58" s="38">
        <v>0.52083333333333337</v>
      </c>
      <c r="T58" s="46">
        <v>0.5625</v>
      </c>
      <c r="U58" s="38">
        <f t="shared" si="5"/>
        <v>0.31944444444444436</v>
      </c>
      <c r="V58" s="39">
        <v>4.1666666666666664E-2</v>
      </c>
      <c r="W58" s="39"/>
      <c r="X58" s="39"/>
      <c r="Y58" s="39"/>
      <c r="Z58" s="39"/>
      <c r="AA58" s="39"/>
      <c r="AB58" s="39"/>
      <c r="AC58" s="40"/>
    </row>
    <row r="59" spans="1:29" ht="24.9" customHeight="1" x14ac:dyDescent="0.3">
      <c r="A59" s="45">
        <v>55</v>
      </c>
      <c r="B59" s="41" t="str">
        <f>IF(E59&lt;&gt;"",INDEX(Datos!D:D,MATCH(TH!E59,Datos!A:A,0)),"")</f>
        <v>APARTADO</v>
      </c>
      <c r="C59" s="41" t="str">
        <f>IF(E59&lt;&gt;"",INDEX(Datos!C:C,MATCH(TH!E59,Datos!A:A,0)),"")</f>
        <v>OPERARIO RECOLECCION Y B.V</v>
      </c>
      <c r="D59" s="23" t="str">
        <f>IF(E59&lt;&gt;"",INDEX(Datos!B:B,MATCH(TH!E59,Datos!A:A,0)),"")</f>
        <v>ORDOÑEZ MADRID LUIS FERNANDO</v>
      </c>
      <c r="E59">
        <v>1027957442</v>
      </c>
      <c r="F59" s="35" t="s">
        <v>4</v>
      </c>
      <c r="G59" s="36">
        <v>2026</v>
      </c>
      <c r="H59" s="37">
        <v>9</v>
      </c>
      <c r="I59" s="52" t="s">
        <v>867</v>
      </c>
      <c r="J59" s="52" t="s">
        <v>528</v>
      </c>
      <c r="K59" s="53">
        <v>46154</v>
      </c>
      <c r="L59" s="34" t="s">
        <v>7</v>
      </c>
      <c r="M59" s="38">
        <v>0.20833333333333334</v>
      </c>
      <c r="N59" s="38">
        <v>0.25</v>
      </c>
      <c r="O59" s="38">
        <f t="shared" si="3"/>
        <v>4.1666666666666657E-2</v>
      </c>
      <c r="P59" s="38">
        <v>0.20833333333333334</v>
      </c>
      <c r="Q59" s="38">
        <v>0.5</v>
      </c>
      <c r="R59" s="38">
        <v>1.3888888888888888E-2</v>
      </c>
      <c r="S59" s="38">
        <v>0.52083333333333337</v>
      </c>
      <c r="T59" s="46">
        <v>0.5625</v>
      </c>
      <c r="U59" s="38">
        <f t="shared" si="5"/>
        <v>0.31944444444444436</v>
      </c>
      <c r="V59" s="39">
        <v>4.1666666666666664E-2</v>
      </c>
      <c r="W59" s="39"/>
      <c r="X59" s="39"/>
      <c r="Y59" s="39"/>
      <c r="Z59" s="39"/>
      <c r="AA59" s="39"/>
      <c r="AB59" s="39"/>
      <c r="AC59" s="39"/>
    </row>
    <row r="60" spans="1:29" ht="24.9" customHeight="1" x14ac:dyDescent="0.3">
      <c r="A60" s="44">
        <v>56</v>
      </c>
      <c r="B60" s="41" t="str">
        <f>IF(E60&lt;&gt;"",INDEX(Datos!D:D,MATCH(TH!E60,Datos!A:A,0)),"")</f>
        <v>APARTADO</v>
      </c>
      <c r="C60" s="41" t="str">
        <f>IF(E60&lt;&gt;"",INDEX(Datos!C:C,MATCH(TH!E60,Datos!A:A,0)),"")</f>
        <v>OPERARIO BARRIDO VIAL</v>
      </c>
      <c r="D60" s="23" t="str">
        <f>IF(E60&lt;&gt;"",INDEX(Datos!B:B,MATCH(TH!E60,Datos!A:A,0)),"")</f>
        <v>PULGARIN CASTRO LUZ MABEL</v>
      </c>
      <c r="E60">
        <v>39413476</v>
      </c>
      <c r="F60" s="35" t="s">
        <v>4</v>
      </c>
      <c r="G60" s="36">
        <v>2026</v>
      </c>
      <c r="H60" s="37">
        <v>9</v>
      </c>
      <c r="I60" s="52" t="s">
        <v>867</v>
      </c>
      <c r="J60" s="52" t="s">
        <v>528</v>
      </c>
      <c r="K60" s="53">
        <v>46154</v>
      </c>
      <c r="L60" s="34" t="s">
        <v>7</v>
      </c>
      <c r="M60" s="38">
        <v>0.20833333333333334</v>
      </c>
      <c r="N60" s="38">
        <v>0.25</v>
      </c>
      <c r="O60" s="38">
        <f t="shared" si="3"/>
        <v>4.1666666666666657E-2</v>
      </c>
      <c r="P60" s="38">
        <v>0.20833333333333334</v>
      </c>
      <c r="Q60" s="38">
        <v>0.5</v>
      </c>
      <c r="R60" s="38">
        <v>1.3888888888888888E-2</v>
      </c>
      <c r="S60" s="38">
        <v>0.52083333333333337</v>
      </c>
      <c r="T60" s="46">
        <v>0.5625</v>
      </c>
      <c r="U60" s="38">
        <f t="shared" si="5"/>
        <v>0.31944444444444436</v>
      </c>
      <c r="V60" s="39">
        <v>4.1666666666666664E-2</v>
      </c>
      <c r="W60" s="39"/>
      <c r="X60" s="39"/>
      <c r="Y60" s="39"/>
      <c r="Z60" s="39"/>
      <c r="AA60" s="39"/>
      <c r="AB60" s="39"/>
      <c r="AC60" s="39"/>
    </row>
    <row r="61" spans="1:29" ht="24.9" customHeight="1" x14ac:dyDescent="0.3">
      <c r="A61" s="45">
        <v>57</v>
      </c>
      <c r="B61" s="41" t="str">
        <f>IF(E61&lt;&gt;"",INDEX(Datos!D:D,MATCH(TH!E61,Datos!A:A,0)),"")</f>
        <v>APARTADO</v>
      </c>
      <c r="C61" s="41" t="str">
        <f>IF(E61&lt;&gt;"",INDEX(Datos!C:C,MATCH(TH!E61,Datos!A:A,0)),"")</f>
        <v>OPERARIO RECOLECCION Y B.V</v>
      </c>
      <c r="D61" s="23" t="str">
        <f>IF(E61&lt;&gt;"",INDEX(Datos!B:B,MATCH(TH!E61,Datos!A:A,0)),"")</f>
        <v>VALLE TORRES WILDER ANDRES</v>
      </c>
      <c r="E61">
        <v>1007843826</v>
      </c>
      <c r="F61" s="35" t="s">
        <v>4</v>
      </c>
      <c r="G61" s="36">
        <v>2026</v>
      </c>
      <c r="H61" s="37">
        <v>9</v>
      </c>
      <c r="I61" s="52" t="s">
        <v>867</v>
      </c>
      <c r="J61" s="52" t="s">
        <v>528</v>
      </c>
      <c r="K61" s="53">
        <v>46154</v>
      </c>
      <c r="L61" s="34" t="s">
        <v>7</v>
      </c>
      <c r="M61" s="38">
        <v>0.20833333333333334</v>
      </c>
      <c r="N61" s="38">
        <v>0.25</v>
      </c>
      <c r="O61" s="38">
        <f t="shared" si="3"/>
        <v>4.1666666666666657E-2</v>
      </c>
      <c r="P61" s="38">
        <v>0.20833333333333334</v>
      </c>
      <c r="Q61" s="38">
        <v>0.5</v>
      </c>
      <c r="R61" s="38">
        <v>1.3888888888888888E-2</v>
      </c>
      <c r="S61" s="38">
        <v>0.52083333333333337</v>
      </c>
      <c r="T61" s="46">
        <v>0.5625</v>
      </c>
      <c r="U61" s="38">
        <f t="shared" si="4"/>
        <v>0.31944444444444436</v>
      </c>
      <c r="V61" s="39">
        <v>4.1666666666666664E-2</v>
      </c>
      <c r="W61" s="39"/>
      <c r="X61" s="39"/>
      <c r="Y61" s="39"/>
      <c r="Z61" s="39"/>
      <c r="AA61" s="39"/>
      <c r="AB61" s="39"/>
      <c r="AC61" s="39"/>
    </row>
    <row r="62" spans="1:29" ht="24" customHeight="1" x14ac:dyDescent="0.3">
      <c r="A62" s="45">
        <v>58</v>
      </c>
      <c r="B62" s="41" t="str">
        <f>IF(E62&lt;&gt;"",INDEX(Datos!D:D,MATCH(TH!E62,Datos!A:A,0)),"")</f>
        <v>APARTADO</v>
      </c>
      <c r="C62" s="41" t="str">
        <f>IF(E62&lt;&gt;"",INDEX(Datos!C:C,MATCH(TH!E62,Datos!A:A,0)),"")</f>
        <v>OPERARIO DE BARRIDO VIAL</v>
      </c>
      <c r="D62" s="23" t="str">
        <f>IF(E62&lt;&gt;"",INDEX(Datos!B:B,MATCH(TH!E62,Datos!A:A,0)),"")</f>
        <v>VILLA FLOREZ SERGIO ANDRES</v>
      </c>
      <c r="E62">
        <v>1128470943</v>
      </c>
      <c r="F62" s="35" t="s">
        <v>4</v>
      </c>
      <c r="G62" s="36">
        <v>2026</v>
      </c>
      <c r="H62" s="37">
        <v>9</v>
      </c>
      <c r="I62" s="52" t="s">
        <v>867</v>
      </c>
      <c r="J62" s="52" t="s">
        <v>528</v>
      </c>
      <c r="K62" s="53">
        <v>46154</v>
      </c>
      <c r="L62" s="34" t="s">
        <v>7</v>
      </c>
      <c r="M62" s="38">
        <v>0.20833333333333334</v>
      </c>
      <c r="N62" s="38">
        <v>0.25</v>
      </c>
      <c r="O62" s="38">
        <f t="shared" si="3"/>
        <v>4.1666666666666657E-2</v>
      </c>
      <c r="P62" s="38">
        <v>0.20833333333333334</v>
      </c>
      <c r="Q62" s="38">
        <v>0.5</v>
      </c>
      <c r="R62" s="38">
        <v>1.3888888888888888E-2</v>
      </c>
      <c r="S62" s="38">
        <v>0.52083333333333337</v>
      </c>
      <c r="T62" s="46">
        <v>0.5625</v>
      </c>
      <c r="U62" s="38">
        <f t="shared" si="4"/>
        <v>0.31944444444444436</v>
      </c>
      <c r="V62" s="39">
        <v>4.1666666666666664E-2</v>
      </c>
      <c r="W62" s="39"/>
      <c r="X62" s="39"/>
      <c r="Y62" s="39"/>
      <c r="Z62" s="39"/>
      <c r="AA62" s="39"/>
      <c r="AB62" s="39"/>
      <c r="AC62" s="39"/>
    </row>
    <row r="63" spans="1:29" ht="25.5" customHeight="1" x14ac:dyDescent="0.3">
      <c r="A63" s="44">
        <v>59</v>
      </c>
      <c r="B63" s="41" t="str">
        <f>IF(E63&lt;&gt;"",INDEX(Datos!D:D,MATCH(TH!E63,Datos!A:A,0)),"")</f>
        <v>APARTADO</v>
      </c>
      <c r="C63" s="41" t="str">
        <f>IF(E63&lt;&gt;"",INDEX(Datos!C:C,MATCH(TH!E63,Datos!A:A,0)),"")</f>
        <v>CONDUCTOR</v>
      </c>
      <c r="D63" s="23" t="str">
        <f>IF(E63&lt;&gt;"",INDEX(Datos!B:B,MATCH(TH!E63,Datos!A:A,0)),"")</f>
        <v>MENDOZA  RUIZ FERNANDO LUIS</v>
      </c>
      <c r="E63">
        <v>1067847096</v>
      </c>
      <c r="F63" s="35" t="s">
        <v>15</v>
      </c>
      <c r="G63" s="36">
        <v>2026</v>
      </c>
      <c r="H63" s="37">
        <v>9</v>
      </c>
      <c r="I63" s="52" t="s">
        <v>868</v>
      </c>
      <c r="J63" s="52" t="s">
        <v>528</v>
      </c>
      <c r="K63" s="53">
        <v>46154</v>
      </c>
      <c r="L63" s="34" t="s">
        <v>7</v>
      </c>
      <c r="M63" s="38">
        <v>0.66666666666666663</v>
      </c>
      <c r="N63" s="38">
        <v>0.75</v>
      </c>
      <c r="O63" s="38">
        <f t="shared" si="3"/>
        <v>8.333333333333337E-2</v>
      </c>
      <c r="P63" s="38">
        <v>0.31944444444444448</v>
      </c>
      <c r="Q63" s="38">
        <v>0.5</v>
      </c>
      <c r="R63" s="38">
        <v>1.3888888888888888E-2</v>
      </c>
      <c r="S63" s="38">
        <v>0.52083333333333337</v>
      </c>
      <c r="T63" s="46">
        <v>0.75</v>
      </c>
      <c r="U63" s="38">
        <f t="shared" si="4"/>
        <v>0.39583333333333326</v>
      </c>
      <c r="V63" s="39"/>
      <c r="W63" s="39"/>
      <c r="X63" s="39"/>
      <c r="Y63" s="39">
        <v>8.3333333333333329E-2</v>
      </c>
      <c r="Z63" s="39"/>
      <c r="AA63" s="39"/>
      <c r="AB63" s="39"/>
      <c r="AC63" s="39"/>
    </row>
    <row r="64" spans="1:29" ht="24.9" customHeight="1" x14ac:dyDescent="0.3">
      <c r="A64" s="44">
        <v>60</v>
      </c>
      <c r="B64" s="41" t="str">
        <f>IF(E64&lt;&gt;"",INDEX(Datos!D:D,MATCH(TH!E64,Datos!A:A,0)),"")</f>
        <v>TURBO</v>
      </c>
      <c r="C64" s="41" t="str">
        <f>IF(E64&lt;&gt;"",INDEX(Datos!C:C,MATCH(TH!E64,Datos!A:A,0)),"")</f>
        <v>CONDUCTOR</v>
      </c>
      <c r="D64" s="23" t="str">
        <f>IF(E64&lt;&gt;"",INDEX(Datos!B:B,MATCH(TH!E64,Datos!A:A,0)),"")</f>
        <v>TREJOL SIERRA GUSTAVO ADOLFO</v>
      </c>
      <c r="E64">
        <v>1028001639</v>
      </c>
      <c r="F64" s="35" t="s">
        <v>4</v>
      </c>
      <c r="G64" s="36">
        <v>2026</v>
      </c>
      <c r="H64" s="37">
        <v>9</v>
      </c>
      <c r="I64" s="52" t="s">
        <v>867</v>
      </c>
      <c r="J64" s="52" t="s">
        <v>528</v>
      </c>
      <c r="K64" s="53">
        <v>46154</v>
      </c>
      <c r="L64" s="34" t="s">
        <v>7</v>
      </c>
      <c r="M64" s="38">
        <v>0.20833333333333334</v>
      </c>
      <c r="N64" s="38">
        <v>0.25</v>
      </c>
      <c r="O64" s="38">
        <f t="shared" si="3"/>
        <v>4.1666666666666657E-2</v>
      </c>
      <c r="P64" s="38">
        <v>0.20833333333333334</v>
      </c>
      <c r="Q64" s="38">
        <v>0.5</v>
      </c>
      <c r="R64" s="38">
        <v>1.3888888888888888E-2</v>
      </c>
      <c r="S64" s="38">
        <v>0.52083333333333337</v>
      </c>
      <c r="T64" s="46">
        <v>0.64583333333333337</v>
      </c>
      <c r="U64" s="38">
        <f t="shared" si="4"/>
        <v>0.40277777777777773</v>
      </c>
      <c r="V64" s="39">
        <v>4.1666666666666664E-2</v>
      </c>
      <c r="W64" s="39"/>
      <c r="X64" s="39"/>
      <c r="Y64" s="39"/>
      <c r="Z64" s="39"/>
      <c r="AA64" s="39"/>
      <c r="AB64" s="39"/>
      <c r="AC64" s="39"/>
    </row>
    <row r="65" spans="1:29" ht="24.9" customHeight="1" x14ac:dyDescent="0.3">
      <c r="A65" s="45">
        <v>61</v>
      </c>
      <c r="B65" s="41" t="str">
        <f>IF(E65&lt;&gt;"",INDEX(Datos!D:D,MATCH(TH!E65,Datos!A:A,0)),"")</f>
        <v>TURBO</v>
      </c>
      <c r="C65" s="41" t="str">
        <f>IF(E65&lt;&gt;"",INDEX(Datos!C:C,MATCH(TH!E65,Datos!A:A,0)),"")</f>
        <v>CONDUCTOR</v>
      </c>
      <c r="D65" s="23" t="str">
        <f>IF(E65&lt;&gt;"",INDEX(Datos!B:B,MATCH(TH!E65,Datos!A:A,0)),"")</f>
        <v>TREJOL SIERRA GUSTAVO ADOLFO</v>
      </c>
      <c r="E65">
        <v>1028001639</v>
      </c>
      <c r="F65" s="35" t="s">
        <v>15</v>
      </c>
      <c r="G65" s="36">
        <v>2026</v>
      </c>
      <c r="H65" s="37">
        <v>9</v>
      </c>
      <c r="I65" s="52" t="s">
        <v>868</v>
      </c>
      <c r="J65" s="52" t="s">
        <v>528</v>
      </c>
      <c r="K65" s="53">
        <v>46154</v>
      </c>
      <c r="L65" s="34" t="s">
        <v>7</v>
      </c>
      <c r="M65" s="38">
        <v>0.5625</v>
      </c>
      <c r="N65" s="46">
        <v>0.64583333333333337</v>
      </c>
      <c r="O65" s="38">
        <f t="shared" si="3"/>
        <v>8.333333333333337E-2</v>
      </c>
      <c r="P65" s="38">
        <v>0.20833333333333334</v>
      </c>
      <c r="Q65" s="38">
        <v>0.5</v>
      </c>
      <c r="R65" s="38">
        <v>1.3888888888888888E-2</v>
      </c>
      <c r="S65" s="38">
        <v>0.52083333333333337</v>
      </c>
      <c r="T65" s="46">
        <v>0.64583333333333337</v>
      </c>
      <c r="U65" s="38">
        <f t="shared" si="4"/>
        <v>0.40277777777777773</v>
      </c>
      <c r="V65" s="39"/>
      <c r="W65" s="39"/>
      <c r="X65" s="39"/>
      <c r="Y65" s="39">
        <v>8.3333333333333329E-2</v>
      </c>
      <c r="Z65" s="39"/>
      <c r="AA65" s="39"/>
      <c r="AB65" s="39"/>
      <c r="AC65" s="39"/>
    </row>
    <row r="66" spans="1:29" ht="24.9" customHeight="1" x14ac:dyDescent="0.3">
      <c r="A66" s="44">
        <v>62</v>
      </c>
      <c r="B66" s="41" t="str">
        <f>IF(E66&lt;&gt;"",INDEX(Datos!D:D,MATCH(TH!E66,Datos!A:A,0)),"")</f>
        <v>TURBO</v>
      </c>
      <c r="C66" s="41" t="str">
        <f>IF(E66&lt;&gt;"",INDEX(Datos!C:C,MATCH(TH!E66,Datos!A:A,0)),"")</f>
        <v>CONDUCTOR</v>
      </c>
      <c r="D66" s="23" t="str">
        <f>IF(E66&lt;&gt;"",INDEX(Datos!B:B,MATCH(TH!E66,Datos!A:A,0)),"")</f>
        <v>CARTAGENA GUISAO CRISTIAN CAMILO</v>
      </c>
      <c r="E66">
        <v>1007934601</v>
      </c>
      <c r="F66" s="35" t="s">
        <v>4</v>
      </c>
      <c r="G66" s="36">
        <v>2026</v>
      </c>
      <c r="H66" s="37">
        <v>9</v>
      </c>
      <c r="I66" s="52" t="s">
        <v>867</v>
      </c>
      <c r="J66" s="52" t="s">
        <v>528</v>
      </c>
      <c r="K66" s="53">
        <v>46154</v>
      </c>
      <c r="L66" s="34" t="s">
        <v>7</v>
      </c>
      <c r="M66" s="38">
        <v>0.20833333333333334</v>
      </c>
      <c r="N66" s="38">
        <v>0.25</v>
      </c>
      <c r="O66" s="38">
        <f t="shared" si="3"/>
        <v>4.1666666666666657E-2</v>
      </c>
      <c r="P66" s="38">
        <v>0.20833333333333334</v>
      </c>
      <c r="Q66" s="38">
        <v>0.5</v>
      </c>
      <c r="R66" s="38">
        <v>1.3888888888888888E-2</v>
      </c>
      <c r="S66" s="38">
        <v>0.52083333333333337</v>
      </c>
      <c r="T66" s="46">
        <v>0.6875</v>
      </c>
      <c r="U66" s="38">
        <f t="shared" si="4"/>
        <v>0.44444444444444436</v>
      </c>
      <c r="V66" s="39">
        <v>4.1666666666666664E-2</v>
      </c>
      <c r="W66" s="39"/>
      <c r="X66" s="39"/>
      <c r="Y66" s="39"/>
      <c r="Z66" s="39"/>
      <c r="AA66" s="39"/>
      <c r="AB66" s="39"/>
      <c r="AC66" s="39"/>
    </row>
    <row r="67" spans="1:29" ht="24.9" customHeight="1" x14ac:dyDescent="0.3">
      <c r="A67" s="45">
        <v>63</v>
      </c>
      <c r="B67" s="41" t="str">
        <f>IF(E67&lt;&gt;"",INDEX(Datos!D:D,MATCH(TH!E67,Datos!A:A,0)),"")</f>
        <v>TURBO</v>
      </c>
      <c r="C67" s="41" t="str">
        <f>IF(E67&lt;&gt;"",INDEX(Datos!C:C,MATCH(TH!E67,Datos!A:A,0)),"")</f>
        <v>CONDUCTOR</v>
      </c>
      <c r="D67" s="23" t="str">
        <f>IF(E67&lt;&gt;"",INDEX(Datos!B:B,MATCH(TH!E67,Datos!A:A,0)),"")</f>
        <v>CARTAGENA GUISAO CRISTIAN CAMILO</v>
      </c>
      <c r="E67">
        <v>1007934601</v>
      </c>
      <c r="F67" s="35" t="s">
        <v>15</v>
      </c>
      <c r="G67" s="36">
        <v>2026</v>
      </c>
      <c r="H67" s="37">
        <v>9</v>
      </c>
      <c r="I67" s="52" t="s">
        <v>987</v>
      </c>
      <c r="J67" s="52" t="s">
        <v>528</v>
      </c>
      <c r="K67" s="53">
        <v>46154</v>
      </c>
      <c r="L67" s="34" t="s">
        <v>7</v>
      </c>
      <c r="M67" s="38">
        <v>0.5625</v>
      </c>
      <c r="N67" s="46">
        <v>0.6875</v>
      </c>
      <c r="O67" s="38">
        <f t="shared" si="3"/>
        <v>0.125</v>
      </c>
      <c r="P67" s="38">
        <v>0.20833333333333334</v>
      </c>
      <c r="Q67" s="38">
        <v>0.5</v>
      </c>
      <c r="R67" s="38">
        <v>1.3888888888888888E-2</v>
      </c>
      <c r="S67" s="38">
        <v>0.52083333333333337</v>
      </c>
      <c r="T67" s="46">
        <v>0.6875</v>
      </c>
      <c r="U67" s="38">
        <f t="shared" si="4"/>
        <v>0.44444444444444436</v>
      </c>
      <c r="V67" s="39"/>
      <c r="W67" s="39"/>
      <c r="X67" s="39"/>
      <c r="Y67" s="39">
        <v>0.125</v>
      </c>
      <c r="Z67" s="39"/>
      <c r="AA67" s="39"/>
      <c r="AB67" s="39"/>
      <c r="AC67" s="39"/>
    </row>
    <row r="68" spans="1:29" ht="24.9" customHeight="1" x14ac:dyDescent="0.3">
      <c r="A68" s="45">
        <v>64</v>
      </c>
      <c r="B68" s="41" t="str">
        <f>IF(E68&lt;&gt;"",INDEX(Datos!D:D,MATCH(TH!E68,Datos!A:A,0)),"")</f>
        <v>APARTADO</v>
      </c>
      <c r="C68" s="41" t="str">
        <f>IF(E68&lt;&gt;"",INDEX(Datos!C:C,MATCH(TH!E68,Datos!A:A,0)),"")</f>
        <v>CONDUCTOR</v>
      </c>
      <c r="D68" s="23" t="str">
        <f>IF(E68&lt;&gt;"",INDEX(Datos!B:B,MATCH(TH!E68,Datos!A:A,0)),"")</f>
        <v>MORALES PALENCIA JAIR</v>
      </c>
      <c r="E68">
        <v>1045507636</v>
      </c>
      <c r="F68" s="35" t="s">
        <v>15</v>
      </c>
      <c r="G68" s="36">
        <v>2026</v>
      </c>
      <c r="H68" s="37">
        <v>9</v>
      </c>
      <c r="I68" s="52" t="s">
        <v>917</v>
      </c>
      <c r="J68" s="52" t="s">
        <v>528</v>
      </c>
      <c r="K68" s="53">
        <v>46154</v>
      </c>
      <c r="L68" s="34" t="s">
        <v>7</v>
      </c>
      <c r="M68" s="38">
        <v>0.60416666666666663</v>
      </c>
      <c r="N68" s="46">
        <v>0.8125</v>
      </c>
      <c r="O68" s="38">
        <f t="shared" si="3"/>
        <v>0.20833333333333337</v>
      </c>
      <c r="P68" s="38">
        <v>0.25</v>
      </c>
      <c r="Q68" s="38">
        <v>0.5</v>
      </c>
      <c r="R68" s="38">
        <v>1.3888888888888888E-2</v>
      </c>
      <c r="S68" s="38">
        <v>0.52083333333333337</v>
      </c>
      <c r="T68" s="46">
        <v>0.8125</v>
      </c>
      <c r="U68" s="38">
        <f t="shared" si="4"/>
        <v>0.52777777777777779</v>
      </c>
      <c r="V68" s="39"/>
      <c r="W68" s="39"/>
      <c r="X68" s="39"/>
      <c r="Y68" s="39">
        <v>0.20833333333333334</v>
      </c>
      <c r="Z68" s="39"/>
      <c r="AA68" s="39"/>
      <c r="AB68" s="39"/>
      <c r="AC68" s="39"/>
    </row>
    <row r="69" spans="1:29" ht="24.9" customHeight="1" x14ac:dyDescent="0.3">
      <c r="A69" s="44">
        <v>65</v>
      </c>
      <c r="B69" s="41" t="str">
        <f>IF(E69&lt;&gt;"",INDEX(Datos!D:D,MATCH(TH!E69,Datos!A:A,0)),"")</f>
        <v>TURBO</v>
      </c>
      <c r="C69" s="41" t="str">
        <f>IF(E69&lt;&gt;"",INDEX(Datos!C:C,MATCH(TH!E69,Datos!A:A,0)),"")</f>
        <v>CONDUCTOR</v>
      </c>
      <c r="D69" s="23" t="str">
        <f>IF(E69&lt;&gt;"",INDEX(Datos!B:B,MATCH(TH!E69,Datos!A:A,0)),"")</f>
        <v>URREGO GUISAO JAVIER ANDRES</v>
      </c>
      <c r="E69">
        <v>1193514094</v>
      </c>
      <c r="F69" s="35" t="s">
        <v>4</v>
      </c>
      <c r="G69" s="36">
        <v>2026</v>
      </c>
      <c r="H69" s="37">
        <v>9</v>
      </c>
      <c r="I69" s="52" t="s">
        <v>867</v>
      </c>
      <c r="J69" s="52" t="s">
        <v>528</v>
      </c>
      <c r="K69" s="53">
        <v>46154</v>
      </c>
      <c r="L69" s="34" t="s">
        <v>7</v>
      </c>
      <c r="M69" s="38">
        <v>0.20833333333333334</v>
      </c>
      <c r="N69" s="38">
        <v>0.25</v>
      </c>
      <c r="O69" s="38">
        <f t="shared" si="3"/>
        <v>4.1666666666666657E-2</v>
      </c>
      <c r="P69" s="38">
        <v>0.20833333333333334</v>
      </c>
      <c r="Q69" s="38">
        <v>0.5</v>
      </c>
      <c r="R69" s="38">
        <v>1.3888888888888888E-2</v>
      </c>
      <c r="S69" s="38">
        <v>0.52083333333333337</v>
      </c>
      <c r="T69" s="46">
        <v>0.77083333333333337</v>
      </c>
      <c r="U69" s="38">
        <f t="shared" si="4"/>
        <v>0.52777777777777779</v>
      </c>
      <c r="V69" s="39">
        <v>4.1666666666666664E-2</v>
      </c>
      <c r="W69" s="39"/>
      <c r="X69" s="39"/>
      <c r="Y69" s="39"/>
      <c r="Z69" s="39"/>
      <c r="AA69" s="39"/>
      <c r="AB69" s="39"/>
      <c r="AC69" s="39"/>
    </row>
    <row r="70" spans="1:29" ht="24.9" customHeight="1" x14ac:dyDescent="0.3">
      <c r="A70" s="44">
        <v>66</v>
      </c>
      <c r="B70" s="41" t="str">
        <f>IF(E70&lt;&gt;"",INDEX(Datos!D:D,MATCH(TH!E70,Datos!A:A,0)),"")</f>
        <v>TURBO</v>
      </c>
      <c r="C70" s="41" t="str">
        <f>IF(E70&lt;&gt;"",INDEX(Datos!C:C,MATCH(TH!E70,Datos!A:A,0)),"")</f>
        <v>CONDUCTOR</v>
      </c>
      <c r="D70" s="23" t="str">
        <f>IF(E70&lt;&gt;"",INDEX(Datos!B:B,MATCH(TH!E70,Datos!A:A,0)),"")</f>
        <v>URREGO GUISAO JAVIER ANDRES</v>
      </c>
      <c r="E70">
        <v>1193514094</v>
      </c>
      <c r="F70" s="35" t="s">
        <v>15</v>
      </c>
      <c r="G70" s="36">
        <v>2026</v>
      </c>
      <c r="H70" s="37">
        <v>9</v>
      </c>
      <c r="I70" s="52" t="s">
        <v>917</v>
      </c>
      <c r="J70" s="52" t="s">
        <v>528</v>
      </c>
      <c r="K70" s="53">
        <v>46154</v>
      </c>
      <c r="L70" s="34" t="s">
        <v>7</v>
      </c>
      <c r="M70" s="38">
        <v>0.5625</v>
      </c>
      <c r="N70" s="46">
        <v>0.77083333333333337</v>
      </c>
      <c r="O70" s="38">
        <f t="shared" si="3"/>
        <v>0.20833333333333337</v>
      </c>
      <c r="P70" s="38">
        <v>0.20833333333333334</v>
      </c>
      <c r="Q70" s="38">
        <v>0.5</v>
      </c>
      <c r="R70" s="38">
        <v>1.3888888888888888E-2</v>
      </c>
      <c r="S70" s="38">
        <v>0.52083333333333337</v>
      </c>
      <c r="T70" s="46">
        <v>0.77083333333333337</v>
      </c>
      <c r="U70" s="38">
        <f t="shared" ref="U70:U79" si="6">(Q70-P70)+(T70-S70)-R70</f>
        <v>0.52777777777777779</v>
      </c>
      <c r="V70" s="39"/>
      <c r="W70" s="39"/>
      <c r="X70" s="39"/>
      <c r="Y70" s="39">
        <v>0.20833333333333334</v>
      </c>
      <c r="Z70" s="39"/>
      <c r="AA70" s="39"/>
      <c r="AB70" s="39"/>
      <c r="AC70" s="39"/>
    </row>
    <row r="71" spans="1:29" ht="24.9" customHeight="1" x14ac:dyDescent="0.3">
      <c r="A71" s="45">
        <v>67</v>
      </c>
      <c r="B71" s="41" t="str">
        <f>IF(E71&lt;&gt;"",INDEX(Datos!D:D,MATCH(TH!E71,Datos!A:A,0)),"")</f>
        <v>TURBO</v>
      </c>
      <c r="C71" s="41" t="str">
        <f>IF(E71&lt;&gt;"",INDEX(Datos!C:C,MATCH(TH!E71,Datos!A:A,0)),"")</f>
        <v>CONDUCTOR</v>
      </c>
      <c r="D71" s="23" t="str">
        <f>IF(E71&lt;&gt;"",INDEX(Datos!B:B,MATCH(TH!E71,Datos!A:A,0)),"")</f>
        <v>LOPEZ MEJIA OSMAN</v>
      </c>
      <c r="E71">
        <v>1193102418</v>
      </c>
      <c r="F71" s="35" t="s">
        <v>15</v>
      </c>
      <c r="G71" s="36">
        <v>2026</v>
      </c>
      <c r="H71" s="37">
        <v>9</v>
      </c>
      <c r="I71" s="52" t="s">
        <v>867</v>
      </c>
      <c r="J71" s="52" t="s">
        <v>528</v>
      </c>
      <c r="K71" s="53">
        <v>46154</v>
      </c>
      <c r="L71" s="34" t="s">
        <v>7</v>
      </c>
      <c r="M71" s="38">
        <v>0.60416666666666663</v>
      </c>
      <c r="N71" s="46">
        <v>0.64583333333333337</v>
      </c>
      <c r="O71" s="38">
        <f t="shared" si="3"/>
        <v>4.1666666666666741E-2</v>
      </c>
      <c r="P71" s="38">
        <v>0.25</v>
      </c>
      <c r="Q71" s="38">
        <v>0.5</v>
      </c>
      <c r="R71" s="38">
        <v>1.3888888888888888E-2</v>
      </c>
      <c r="S71" s="38">
        <v>0.52083333333333337</v>
      </c>
      <c r="T71" s="46">
        <v>0.64583333333333337</v>
      </c>
      <c r="U71" s="38">
        <f t="shared" si="6"/>
        <v>0.3611111111111111</v>
      </c>
      <c r="V71" s="39"/>
      <c r="W71" s="39"/>
      <c r="X71" s="39"/>
      <c r="Y71" s="39">
        <v>4.1666666666666664E-2</v>
      </c>
      <c r="Z71" s="39"/>
      <c r="AA71" s="39"/>
      <c r="AB71" s="39"/>
      <c r="AC71" s="39"/>
    </row>
    <row r="72" spans="1:29" ht="24.9" customHeight="1" x14ac:dyDescent="0.3">
      <c r="A72" s="44">
        <v>68</v>
      </c>
      <c r="B72" s="41" t="str">
        <f>IF(E72&lt;&gt;"",INDEX(Datos!D:D,MATCH(TH!E72,Datos!A:A,0)),"")</f>
        <v>APARTADO</v>
      </c>
      <c r="C72" s="41" t="str">
        <f>IF(E72&lt;&gt;"",INDEX(Datos!C:C,MATCH(TH!E72,Datos!A:A,0)),"")</f>
        <v>CONDUCTOR</v>
      </c>
      <c r="D72" s="23" t="str">
        <f>IF(E72&lt;&gt;"",INDEX(Datos!B:B,MATCH(TH!E72,Datos!A:A,0)),"")</f>
        <v>PATIﾑO BANQUEZ OMAR</v>
      </c>
      <c r="E72">
        <v>73079841</v>
      </c>
      <c r="F72" s="35" t="s">
        <v>15</v>
      </c>
      <c r="G72" s="36">
        <v>2026</v>
      </c>
      <c r="H72" s="37">
        <v>9</v>
      </c>
      <c r="I72" s="52" t="s">
        <v>987</v>
      </c>
      <c r="J72" s="52" t="s">
        <v>528</v>
      </c>
      <c r="K72" s="53">
        <v>46154</v>
      </c>
      <c r="L72" s="34" t="s">
        <v>7</v>
      </c>
      <c r="M72" s="38">
        <v>0.60416666666666663</v>
      </c>
      <c r="N72" s="46">
        <v>0.72916666666666663</v>
      </c>
      <c r="O72" s="38">
        <f t="shared" si="3"/>
        <v>0.125</v>
      </c>
      <c r="P72" s="38">
        <v>0.25</v>
      </c>
      <c r="Q72" s="38">
        <v>0.5</v>
      </c>
      <c r="R72" s="38">
        <v>1.3888888888888888E-2</v>
      </c>
      <c r="S72" s="38">
        <v>0.52083333333333337</v>
      </c>
      <c r="T72" s="46">
        <v>0.72916666666666663</v>
      </c>
      <c r="U72" s="38">
        <f t="shared" si="6"/>
        <v>0.44444444444444436</v>
      </c>
      <c r="V72" s="39"/>
      <c r="W72" s="39"/>
      <c r="X72" s="39"/>
      <c r="Y72" s="39">
        <v>0.125</v>
      </c>
      <c r="Z72" s="39"/>
      <c r="AA72" s="39"/>
      <c r="AB72" s="39"/>
      <c r="AC72" s="39"/>
    </row>
    <row r="73" spans="1:29" s="25" customFormat="1" ht="24.9" customHeight="1" x14ac:dyDescent="0.3">
      <c r="A73" s="45">
        <v>69</v>
      </c>
      <c r="B73" s="41" t="str">
        <f>IF(E73&lt;&gt;"",INDEX(Datos!D:D,MATCH(TH!E73,Datos!A:A,0)),"")</f>
        <v>APARTADO</v>
      </c>
      <c r="C73" s="41" t="str">
        <f>IF(E73&lt;&gt;"",INDEX(Datos!C:C,MATCH(TH!E73,Datos!A:A,0)),"")</f>
        <v>CONDUCTOR</v>
      </c>
      <c r="D73" s="23" t="str">
        <f>IF(E73&lt;&gt;"",INDEX(Datos!B:B,MATCH(TH!E73,Datos!A:A,0)),"")</f>
        <v>ARANGO ARENAS EDUAR DE JESUS</v>
      </c>
      <c r="E73">
        <v>8324965</v>
      </c>
      <c r="F73" s="35" t="s">
        <v>15</v>
      </c>
      <c r="G73" s="36">
        <v>2026</v>
      </c>
      <c r="H73" s="37">
        <v>9</v>
      </c>
      <c r="I73" s="52" t="s">
        <v>1004</v>
      </c>
      <c r="J73" s="52" t="s">
        <v>528</v>
      </c>
      <c r="K73" s="53">
        <v>46154</v>
      </c>
      <c r="L73" s="34" t="s">
        <v>7</v>
      </c>
      <c r="M73" s="38">
        <v>0.60416666666666663</v>
      </c>
      <c r="N73" s="46">
        <v>0.75</v>
      </c>
      <c r="O73" s="38">
        <f>+N73-M73</f>
        <v>0.14583333333333337</v>
      </c>
      <c r="P73" s="38">
        <v>0.25</v>
      </c>
      <c r="Q73" s="38">
        <v>0.5</v>
      </c>
      <c r="R73" s="38">
        <v>1.3888888888888888E-2</v>
      </c>
      <c r="S73" s="38">
        <v>0.52083333333333337</v>
      </c>
      <c r="T73" s="46">
        <v>0.75</v>
      </c>
      <c r="U73" s="38">
        <f>(Q73-P73)+(T73-S73)-R73</f>
        <v>0.46527777777777773</v>
      </c>
      <c r="V73" s="39"/>
      <c r="W73" s="39"/>
      <c r="X73" s="39"/>
      <c r="Y73" s="39">
        <v>0.14583333333333334</v>
      </c>
      <c r="Z73" s="39"/>
      <c r="AA73" s="39"/>
      <c r="AB73" s="39"/>
      <c r="AC73" s="39"/>
    </row>
    <row r="74" spans="1:29" s="25" customFormat="1" ht="24.9" customHeight="1" x14ac:dyDescent="0.3">
      <c r="A74" s="45">
        <v>70</v>
      </c>
      <c r="B74" s="41" t="str">
        <f>IF(E74&lt;&gt;"",INDEX(Datos!D:D,MATCH(TH!E74,Datos!A:A,0)),"")</f>
        <v>APARTADO</v>
      </c>
      <c r="C74" s="41" t="str">
        <f>IF(E74&lt;&gt;"",INDEX(Datos!C:C,MATCH(TH!E74,Datos!A:A,0)),"")</f>
        <v>OPERARIO BARRIDO VIAL</v>
      </c>
      <c r="D74" s="23" t="str">
        <f>IF(E74&lt;&gt;"",INDEX(Datos!B:B,MATCH(TH!E74,Datos!A:A,0)),"")</f>
        <v>CORDOBA MARTINEZ JUAN ESTEBAN</v>
      </c>
      <c r="E74">
        <v>1018226401</v>
      </c>
      <c r="F74" s="35" t="s">
        <v>4</v>
      </c>
      <c r="G74" s="36">
        <v>2026</v>
      </c>
      <c r="H74" s="37">
        <v>9</v>
      </c>
      <c r="I74" s="52" t="s">
        <v>867</v>
      </c>
      <c r="J74" s="52" t="s">
        <v>528</v>
      </c>
      <c r="K74" s="53">
        <v>46154</v>
      </c>
      <c r="L74" s="34" t="s">
        <v>7</v>
      </c>
      <c r="M74" s="38">
        <v>0.20833333333333334</v>
      </c>
      <c r="N74" s="38">
        <v>0.25</v>
      </c>
      <c r="O74" s="38">
        <f t="shared" ref="O74:O136" si="7">+N74-M74</f>
        <v>4.1666666666666657E-2</v>
      </c>
      <c r="P74" s="38">
        <v>0.20833333333333334</v>
      </c>
      <c r="Q74" s="38">
        <v>0.5</v>
      </c>
      <c r="R74" s="38">
        <v>1.3888888888888888E-2</v>
      </c>
      <c r="S74" s="38">
        <v>0.52083333333333337</v>
      </c>
      <c r="T74" s="46">
        <v>0.5625</v>
      </c>
      <c r="U74" s="38">
        <f>(Q74-P74)+(T74-S74)-R74</f>
        <v>0.31944444444444436</v>
      </c>
      <c r="V74" s="39">
        <v>4.1666666666666664E-2</v>
      </c>
      <c r="W74" s="39"/>
      <c r="X74" s="39"/>
      <c r="Y74" s="39"/>
      <c r="Z74" s="39"/>
      <c r="AA74" s="39"/>
      <c r="AB74" s="39"/>
      <c r="AC74" s="39"/>
    </row>
    <row r="75" spans="1:29" s="25" customFormat="1" ht="24.9" customHeight="1" x14ac:dyDescent="0.3">
      <c r="A75" s="44">
        <v>71</v>
      </c>
      <c r="B75" s="41" t="str">
        <f>IF(E75&lt;&gt;"",INDEX(Datos!D:D,MATCH(TH!E75,Datos!A:A,0)),"")</f>
        <v>TALLER</v>
      </c>
      <c r="C75" s="41" t="str">
        <f>IF(E75&lt;&gt;"",INDEX(Datos!C:C,MATCH(TH!E75,Datos!A:A,0)),"")</f>
        <v>OPERARIO RECOLECCION Y B.V</v>
      </c>
      <c r="D75" s="23" t="str">
        <f>IF(E75&lt;&gt;"",INDEX(Datos!B:B,MATCH(TH!E75,Datos!A:A,0)),"")</f>
        <v>TIRADO LONDOﾑO JULIO CESAR</v>
      </c>
      <c r="E75">
        <v>78752718</v>
      </c>
      <c r="F75" s="35" t="s">
        <v>4</v>
      </c>
      <c r="G75" s="36">
        <v>2026</v>
      </c>
      <c r="H75" s="37">
        <v>9</v>
      </c>
      <c r="I75" s="52" t="s">
        <v>867</v>
      </c>
      <c r="J75" s="52" t="s">
        <v>528</v>
      </c>
      <c r="K75" s="53">
        <v>46154</v>
      </c>
      <c r="L75" s="34" t="s">
        <v>7</v>
      </c>
      <c r="M75" s="38">
        <v>0.20833333333333334</v>
      </c>
      <c r="N75" s="38">
        <v>0.25</v>
      </c>
      <c r="O75" s="38">
        <f t="shared" si="7"/>
        <v>4.1666666666666657E-2</v>
      </c>
      <c r="P75" s="38">
        <v>0.20833333333333334</v>
      </c>
      <c r="Q75" s="38">
        <v>0.5</v>
      </c>
      <c r="R75" s="38">
        <v>1.3888888888888888E-2</v>
      </c>
      <c r="S75" s="38">
        <v>0.52083333333333337</v>
      </c>
      <c r="T75" s="46">
        <v>0.5625</v>
      </c>
      <c r="U75" s="38">
        <f>(Q75-P75)+(T75-S75)-R75</f>
        <v>0.31944444444444436</v>
      </c>
      <c r="V75" s="39">
        <v>4.1666666666666664E-2</v>
      </c>
      <c r="W75" s="39"/>
      <c r="X75" s="39"/>
      <c r="Y75" s="39"/>
      <c r="Z75" s="39"/>
      <c r="AA75" s="39"/>
      <c r="AB75" s="39"/>
      <c r="AC75" s="39"/>
    </row>
    <row r="76" spans="1:29" s="25" customFormat="1" ht="24.9" customHeight="1" x14ac:dyDescent="0.3">
      <c r="A76" s="44">
        <v>72</v>
      </c>
      <c r="B76" s="41" t="str">
        <f>IF(E76&lt;&gt;"",INDEX(Datos!D:D,MATCH(TH!E76,Datos!A:A,0)),"")</f>
        <v>APARTADO</v>
      </c>
      <c r="C76" s="41" t="str">
        <f>IF(E76&lt;&gt;"",INDEX(Datos!C:C,MATCH(TH!E76,Datos!A:A,0)),"")</f>
        <v>CONDUCTOR</v>
      </c>
      <c r="D76" s="23" t="str">
        <f>IF(E76&lt;&gt;"",INDEX(Datos!B:B,MATCH(TH!E76,Datos!A:A,0)),"")</f>
        <v>DAVID USUGA EDWIN ANTONIO</v>
      </c>
      <c r="E76">
        <v>1028013428</v>
      </c>
      <c r="F76" s="35" t="s">
        <v>4</v>
      </c>
      <c r="G76" s="36">
        <v>2026</v>
      </c>
      <c r="H76" s="37">
        <v>9</v>
      </c>
      <c r="I76" s="52" t="s">
        <v>1014</v>
      </c>
      <c r="J76" s="52" t="s">
        <v>528</v>
      </c>
      <c r="K76" s="53">
        <v>46154</v>
      </c>
      <c r="L76" s="34" t="s">
        <v>7</v>
      </c>
      <c r="M76" s="38">
        <v>0.16319444444444445</v>
      </c>
      <c r="N76" s="46">
        <v>0.25</v>
      </c>
      <c r="O76" s="38">
        <f t="shared" si="7"/>
        <v>8.6805555555555552E-2</v>
      </c>
      <c r="P76" s="38">
        <v>0.16319444444444445</v>
      </c>
      <c r="Q76" s="38">
        <v>0.5</v>
      </c>
      <c r="R76" s="38">
        <v>1.3888888888888888E-2</v>
      </c>
      <c r="S76" s="38">
        <v>0.52083333333333337</v>
      </c>
      <c r="T76" s="46">
        <v>0.79166666666666663</v>
      </c>
      <c r="U76" s="38">
        <f t="shared" si="6"/>
        <v>0.59375</v>
      </c>
      <c r="V76" s="39">
        <v>8.6805555555555566E-2</v>
      </c>
      <c r="W76" s="39"/>
      <c r="X76" s="39"/>
      <c r="Y76" s="39"/>
      <c r="Z76" s="39"/>
      <c r="AA76" s="39"/>
      <c r="AB76" s="39"/>
      <c r="AC76" s="39"/>
    </row>
    <row r="77" spans="1:29" s="25" customFormat="1" ht="24.9" customHeight="1" x14ac:dyDescent="0.3">
      <c r="A77" s="45">
        <v>73</v>
      </c>
      <c r="B77" s="41" t="str">
        <f>IF(E77&lt;&gt;"",INDEX(Datos!D:D,MATCH(TH!E77,Datos!A:A,0)),"")</f>
        <v>APARTADO</v>
      </c>
      <c r="C77" s="41" t="str">
        <f>IF(E77&lt;&gt;"",INDEX(Datos!C:C,MATCH(TH!E77,Datos!A:A,0)),"")</f>
        <v>CONDUCTOR</v>
      </c>
      <c r="D77" s="23" t="str">
        <f>IF(E77&lt;&gt;"",INDEX(Datos!B:B,MATCH(TH!E77,Datos!A:A,0)),"")</f>
        <v>DAVID USUGA EDWIN ANTONIO</v>
      </c>
      <c r="E77">
        <v>1028013428</v>
      </c>
      <c r="F77" s="35" t="s">
        <v>15</v>
      </c>
      <c r="G77" s="36">
        <v>2026</v>
      </c>
      <c r="H77" s="37">
        <v>9</v>
      </c>
      <c r="I77" s="52" t="s">
        <v>992</v>
      </c>
      <c r="J77" s="52" t="s">
        <v>528</v>
      </c>
      <c r="K77" s="53">
        <v>46154</v>
      </c>
      <c r="L77" s="34" t="s">
        <v>7</v>
      </c>
      <c r="M77" s="38">
        <v>0.54166666666666663</v>
      </c>
      <c r="N77" s="46">
        <v>0.79166666666666663</v>
      </c>
      <c r="O77" s="38">
        <f t="shared" si="7"/>
        <v>0.25</v>
      </c>
      <c r="P77" s="38">
        <v>0.16319444444444445</v>
      </c>
      <c r="Q77" s="38">
        <v>0.5</v>
      </c>
      <c r="R77" s="38">
        <v>1.3888888888888888E-2</v>
      </c>
      <c r="S77" s="38">
        <v>0.52083333333333337</v>
      </c>
      <c r="T77" s="46">
        <v>0.79166666666666663</v>
      </c>
      <c r="U77" s="38">
        <f t="shared" si="6"/>
        <v>0.59375</v>
      </c>
      <c r="V77" s="39"/>
      <c r="W77" s="39"/>
      <c r="X77" s="39"/>
      <c r="Y77" s="39">
        <v>0.25</v>
      </c>
      <c r="Z77" s="39"/>
      <c r="AA77" s="39"/>
      <c r="AB77" s="39"/>
      <c r="AC77" s="39"/>
    </row>
    <row r="78" spans="1:29" s="25" customFormat="1" ht="24.9" customHeight="1" x14ac:dyDescent="0.3">
      <c r="A78" s="44">
        <v>74</v>
      </c>
      <c r="B78" s="41" t="str">
        <f>IF(E78&lt;&gt;"",INDEX(Datos!D:D,MATCH(TH!E78,Datos!A:A,0)),"")</f>
        <v>APARTADO</v>
      </c>
      <c r="C78" s="41" t="str">
        <f>IF(E78&lt;&gt;"",INDEX(Datos!C:C,MATCH(TH!E78,Datos!A:A,0)),"")</f>
        <v>CONDUCTOR</v>
      </c>
      <c r="D78" s="23" t="str">
        <f>IF(E78&lt;&gt;"",INDEX(Datos!B:B,MATCH(TH!E78,Datos!A:A,0)),"")</f>
        <v>QUIROZ SOTO EDWAR ALONSO</v>
      </c>
      <c r="E78">
        <v>1028003079</v>
      </c>
      <c r="F78" s="35" t="s">
        <v>4</v>
      </c>
      <c r="G78" s="36">
        <v>2026</v>
      </c>
      <c r="H78" s="37">
        <v>9</v>
      </c>
      <c r="I78" s="52" t="s">
        <v>1015</v>
      </c>
      <c r="J78" s="52" t="s">
        <v>528</v>
      </c>
      <c r="K78" s="53">
        <v>46154</v>
      </c>
      <c r="L78" s="34" t="s">
        <v>7</v>
      </c>
      <c r="M78" s="38">
        <v>0.17708333333333334</v>
      </c>
      <c r="N78" s="46">
        <v>0.25</v>
      </c>
      <c r="O78" s="38">
        <f t="shared" si="7"/>
        <v>7.2916666666666657E-2</v>
      </c>
      <c r="P78" s="38">
        <v>0.17708333333333334</v>
      </c>
      <c r="Q78" s="38">
        <v>0.5</v>
      </c>
      <c r="R78" s="38">
        <v>1.3888888888888888E-2</v>
      </c>
      <c r="S78" s="38">
        <v>0.52083333333333337</v>
      </c>
      <c r="T78" s="46">
        <v>0.66319444444444442</v>
      </c>
      <c r="U78" s="38">
        <f t="shared" si="6"/>
        <v>0.45138888888888878</v>
      </c>
      <c r="V78" s="39">
        <v>7.2916666666666671E-2</v>
      </c>
      <c r="W78" s="39"/>
      <c r="X78" s="39"/>
      <c r="Y78" s="39"/>
      <c r="Z78" s="39"/>
      <c r="AA78" s="39"/>
      <c r="AB78" s="39"/>
      <c r="AC78" s="39"/>
    </row>
    <row r="79" spans="1:29" s="25" customFormat="1" ht="24" customHeight="1" x14ac:dyDescent="0.3">
      <c r="A79" s="45">
        <v>75</v>
      </c>
      <c r="B79" s="41" t="str">
        <f>IF(E79&lt;&gt;"",INDEX(Datos!D:D,MATCH(TH!E79,Datos!A:A,0)),"")</f>
        <v>APARTADO</v>
      </c>
      <c r="C79" s="41" t="str">
        <f>IF(E79&lt;&gt;"",INDEX(Datos!C:C,MATCH(TH!E79,Datos!A:A,0)),"")</f>
        <v>CONDUCTOR</v>
      </c>
      <c r="D79" s="23" t="str">
        <f>IF(E79&lt;&gt;"",INDEX(Datos!B:B,MATCH(TH!E79,Datos!A:A,0)),"")</f>
        <v>QUIROZ SOTO EDWAR ALONSO</v>
      </c>
      <c r="E79">
        <v>1028003079</v>
      </c>
      <c r="F79" s="35" t="s">
        <v>15</v>
      </c>
      <c r="G79" s="36">
        <v>2026</v>
      </c>
      <c r="H79" s="37">
        <v>9</v>
      </c>
      <c r="I79" s="52" t="s">
        <v>987</v>
      </c>
      <c r="J79" s="52" t="s">
        <v>528</v>
      </c>
      <c r="K79" s="53">
        <v>46154</v>
      </c>
      <c r="L79" s="34" t="s">
        <v>7</v>
      </c>
      <c r="M79" s="38">
        <v>0.53819444444444442</v>
      </c>
      <c r="N79" s="46">
        <v>0.66319444444444442</v>
      </c>
      <c r="O79" s="38">
        <f t="shared" si="7"/>
        <v>0.125</v>
      </c>
      <c r="P79" s="38">
        <v>0.17708333333333334</v>
      </c>
      <c r="Q79" s="38">
        <v>0.5</v>
      </c>
      <c r="R79" s="38">
        <v>1.3888888888888888E-2</v>
      </c>
      <c r="S79" s="38">
        <v>0.52083333333333337</v>
      </c>
      <c r="T79" s="46">
        <v>0.66319444444444442</v>
      </c>
      <c r="U79" s="38">
        <f t="shared" si="6"/>
        <v>0.45138888888888878</v>
      </c>
      <c r="V79" s="39"/>
      <c r="W79" s="39"/>
      <c r="X79" s="39"/>
      <c r="Y79" s="39">
        <v>0.125</v>
      </c>
      <c r="Z79" s="39"/>
      <c r="AA79" s="39"/>
      <c r="AB79" s="39"/>
      <c r="AC79" s="39"/>
    </row>
    <row r="80" spans="1:29" s="25" customFormat="1" ht="24.9" customHeight="1" x14ac:dyDescent="0.3">
      <c r="A80" s="45">
        <v>76</v>
      </c>
      <c r="B80" s="41" t="str">
        <f>IF(E80&lt;&gt;"",INDEX(Datos!D:D,MATCH(TH!E80,Datos!A:A,0)),"")</f>
        <v>TURBO</v>
      </c>
      <c r="C80" s="41" t="str">
        <f>IF(E80&lt;&gt;"",INDEX(Datos!C:C,MATCH(TH!E80,Datos!A:A,0)),"")</f>
        <v>CONDUCTOR</v>
      </c>
      <c r="D80" s="23" t="str">
        <f>IF(E80&lt;&gt;"",INDEX(Datos!B:B,MATCH(TH!E80,Datos!A:A,0)),"")</f>
        <v>AVILA TAPIAS WILMER DE JESUS</v>
      </c>
      <c r="E80">
        <v>1045494128</v>
      </c>
      <c r="F80" s="35" t="s">
        <v>4</v>
      </c>
      <c r="G80" s="36">
        <v>2026</v>
      </c>
      <c r="H80" s="37">
        <v>9</v>
      </c>
      <c r="I80" s="52" t="s">
        <v>868</v>
      </c>
      <c r="J80" s="52" t="s">
        <v>528</v>
      </c>
      <c r="K80" s="53">
        <v>46154</v>
      </c>
      <c r="L80" s="34" t="s">
        <v>7</v>
      </c>
      <c r="M80" s="38">
        <v>0.16666666666666666</v>
      </c>
      <c r="N80" s="46">
        <v>0.25</v>
      </c>
      <c r="O80" s="38">
        <f t="shared" si="7"/>
        <v>8.3333333333333343E-2</v>
      </c>
      <c r="P80" s="38">
        <v>0.16666666666666666</v>
      </c>
      <c r="Q80" s="38">
        <v>0.5</v>
      </c>
      <c r="R80" s="38">
        <v>1.3888888888888888E-2</v>
      </c>
      <c r="S80" s="38">
        <v>0.52083333333333337</v>
      </c>
      <c r="T80" s="46">
        <v>0.83333333333333337</v>
      </c>
      <c r="U80" s="38">
        <f>(Q80-P80)+(T80-S80)-R80</f>
        <v>0.63194444444444453</v>
      </c>
      <c r="V80" s="39">
        <v>8.3333333333333329E-2</v>
      </c>
      <c r="W80" s="39"/>
      <c r="X80" s="39"/>
      <c r="Y80" s="39"/>
      <c r="Z80" s="39"/>
      <c r="AA80" s="39"/>
      <c r="AB80" s="39"/>
      <c r="AC80" s="39"/>
    </row>
    <row r="81" spans="1:29" s="25" customFormat="1" ht="24.9" customHeight="1" x14ac:dyDescent="0.3">
      <c r="A81" s="65">
        <v>77</v>
      </c>
      <c r="B81" s="55" t="str">
        <f>IF(E81&lt;&gt;"",INDEX(Datos!D:D,MATCH(TH!E81,Datos!A:A,0)),"")</f>
        <v>TURBO</v>
      </c>
      <c r="C81" s="55" t="str">
        <f>IF(E81&lt;&gt;"",INDEX(Datos!C:C,MATCH(TH!E81,Datos!A:A,0)),"")</f>
        <v>CONDUCTOR</v>
      </c>
      <c r="D81" s="23" t="str">
        <f>IF(E81&lt;&gt;"",INDEX(Datos!B:B,MATCH(TH!E81,Datos!A:A,0)),"")</f>
        <v>AVILA TAPIAS WILMER DE JESUS</v>
      </c>
      <c r="E81">
        <v>1045494128</v>
      </c>
      <c r="F81" s="35" t="s">
        <v>15</v>
      </c>
      <c r="G81" s="36">
        <v>2026</v>
      </c>
      <c r="H81" s="37">
        <v>9</v>
      </c>
      <c r="I81" s="52" t="s">
        <v>1012</v>
      </c>
      <c r="J81" s="52" t="s">
        <v>528</v>
      </c>
      <c r="K81" s="53">
        <v>46154</v>
      </c>
      <c r="L81" s="34" t="s">
        <v>7</v>
      </c>
      <c r="M81" s="38">
        <v>0.60416666666666663</v>
      </c>
      <c r="N81" s="46">
        <v>0.79166666666666663</v>
      </c>
      <c r="O81" s="38">
        <f t="shared" si="7"/>
        <v>0.1875</v>
      </c>
      <c r="P81" s="38">
        <v>0.16666666666666666</v>
      </c>
      <c r="Q81" s="38">
        <v>0.5</v>
      </c>
      <c r="R81" s="38">
        <v>1.3888888888888888E-2</v>
      </c>
      <c r="S81" s="38">
        <v>0.52083333333333337</v>
      </c>
      <c r="T81" s="46">
        <v>0.83333333333333337</v>
      </c>
      <c r="U81" s="38">
        <f>(Q81-P81)+(T81-S81)-R81</f>
        <v>0.63194444444444453</v>
      </c>
      <c r="V81" s="39"/>
      <c r="W81" s="39"/>
      <c r="X81" s="39"/>
      <c r="Y81" s="39">
        <v>0.1875</v>
      </c>
      <c r="Z81" s="39"/>
      <c r="AA81" s="39"/>
      <c r="AB81" s="39"/>
      <c r="AC81" s="39"/>
    </row>
    <row r="82" spans="1:29" s="67" customFormat="1" ht="24.9" customHeight="1" x14ac:dyDescent="0.3">
      <c r="A82" s="44">
        <v>78</v>
      </c>
      <c r="B82" s="41" t="str">
        <f>IF(E82&lt;&gt;"",INDEX(Datos!D:D,MATCH(TH!E82,Datos!A:A,0)),"")</f>
        <v>TURBO</v>
      </c>
      <c r="C82" s="41" t="str">
        <f>IF(E82&lt;&gt;"",INDEX(Datos!C:C,MATCH(TH!E82,Datos!A:A,0)),"")</f>
        <v>CONDUCTOR</v>
      </c>
      <c r="D82" s="23" t="str">
        <f>IF(E82&lt;&gt;"",INDEX(Datos!B:B,MATCH(TH!E82,Datos!A:A,0)),"")</f>
        <v>AVILA TAPIAS WILMER DE JESUS</v>
      </c>
      <c r="E82">
        <v>1045494128</v>
      </c>
      <c r="F82" s="35" t="s">
        <v>23</v>
      </c>
      <c r="G82" s="36">
        <v>2026</v>
      </c>
      <c r="H82" s="37">
        <v>9</v>
      </c>
      <c r="I82" s="52" t="s">
        <v>867</v>
      </c>
      <c r="J82" s="52" t="s">
        <v>528</v>
      </c>
      <c r="K82" s="53">
        <v>46154</v>
      </c>
      <c r="L82" s="34" t="s">
        <v>7</v>
      </c>
      <c r="M82" s="38">
        <v>0.79236111111111107</v>
      </c>
      <c r="N82" s="46">
        <v>0.83333333333333337</v>
      </c>
      <c r="O82" s="38">
        <f t="shared" si="7"/>
        <v>4.0972222222222299E-2</v>
      </c>
      <c r="P82" s="38">
        <v>0.16666666666666666</v>
      </c>
      <c r="Q82" s="38">
        <v>0.5</v>
      </c>
      <c r="R82" s="38">
        <v>1.3888888888888888E-2</v>
      </c>
      <c r="S82" s="38">
        <v>0.52083333333333337</v>
      </c>
      <c r="T82" s="46">
        <v>0.83333333333333337</v>
      </c>
      <c r="U82" s="38">
        <f t="shared" ref="U82:U142" si="8">(Q82-P82)+(T82-S82)-R82</f>
        <v>0.63194444444444453</v>
      </c>
      <c r="V82" s="39"/>
      <c r="W82" s="39"/>
      <c r="X82" s="39"/>
      <c r="Y82" s="39"/>
      <c r="Z82" s="39">
        <v>4.1666666666666664E-2</v>
      </c>
      <c r="AA82" s="39"/>
      <c r="AB82" s="39"/>
      <c r="AC82" s="39"/>
    </row>
    <row r="83" spans="1:29" s="67" customFormat="1" ht="23.25" customHeight="1" x14ac:dyDescent="0.3">
      <c r="A83" s="45">
        <v>79</v>
      </c>
      <c r="B83" s="41" t="str">
        <f>IF(E83&lt;&gt;"",INDEX(Datos!D:D,MATCH(TH!E83,Datos!A:A,0)),"")</f>
        <v>APARTADO</v>
      </c>
      <c r="C83" s="41" t="str">
        <f>IF(E83&lt;&gt;"",INDEX(Datos!C:C,MATCH(TH!E83,Datos!A:A,0)),"")</f>
        <v>CONDUCTOR</v>
      </c>
      <c r="D83" s="23" t="str">
        <f>IF(E83&lt;&gt;"",INDEX(Datos!B:B,MATCH(TH!E83,Datos!A:A,0)),"")</f>
        <v>RUIZ PUERTA SEBASTIAN</v>
      </c>
      <c r="E83">
        <v>1033658114</v>
      </c>
      <c r="F83" s="35" t="s">
        <v>4</v>
      </c>
      <c r="G83" s="36">
        <v>2026</v>
      </c>
      <c r="H83" s="37">
        <v>9</v>
      </c>
      <c r="I83" s="52" t="s">
        <v>1002</v>
      </c>
      <c r="J83" s="52" t="s">
        <v>528</v>
      </c>
      <c r="K83" s="53">
        <v>46154</v>
      </c>
      <c r="L83" s="34" t="s">
        <v>7</v>
      </c>
      <c r="M83" s="38">
        <v>0.1875</v>
      </c>
      <c r="N83" s="46">
        <v>0.25</v>
      </c>
      <c r="O83" s="38">
        <f>+N83-M83</f>
        <v>6.25E-2</v>
      </c>
      <c r="P83" s="38">
        <v>0.1875</v>
      </c>
      <c r="Q83" s="38">
        <v>0.5</v>
      </c>
      <c r="R83" s="38">
        <v>1.3888888888888888E-2</v>
      </c>
      <c r="S83" s="38">
        <v>0.52083333333333337</v>
      </c>
      <c r="T83" s="46">
        <v>0.75</v>
      </c>
      <c r="U83" s="38">
        <f>(Q83-P83)+(T83-S83)-R83</f>
        <v>0.52777777777777779</v>
      </c>
      <c r="V83" s="39">
        <v>6.25E-2</v>
      </c>
      <c r="W83" s="39"/>
      <c r="X83" s="39"/>
      <c r="Y83" s="39"/>
      <c r="Z83" s="39"/>
      <c r="AA83" s="39"/>
      <c r="AB83" s="39"/>
      <c r="AC83" s="39"/>
    </row>
    <row r="84" spans="1:29" s="25" customFormat="1" ht="24.9" customHeight="1" x14ac:dyDescent="0.3">
      <c r="A84" s="66">
        <v>80</v>
      </c>
      <c r="B84" s="57" t="str">
        <f>IF(E84&lt;&gt;"",INDEX(Datos!D:D,MATCH(TH!E84,Datos!A:A,0)),"")</f>
        <v>APARTADO</v>
      </c>
      <c r="C84" s="57" t="str">
        <f>IF(E84&lt;&gt;"",INDEX(Datos!C:C,MATCH(TH!E84,Datos!A:A,0)),"")</f>
        <v>CONDUCTOR</v>
      </c>
      <c r="D84" s="23" t="str">
        <f>IF(E84&lt;&gt;"",INDEX(Datos!B:B,MATCH(TH!E84,Datos!A:A,0)),"")</f>
        <v>RUIZ PUERTA SEBASTIAN</v>
      </c>
      <c r="E84">
        <v>1033658114</v>
      </c>
      <c r="F84" s="35" t="s">
        <v>15</v>
      </c>
      <c r="G84" s="36">
        <v>2026</v>
      </c>
      <c r="H84" s="37">
        <v>9</v>
      </c>
      <c r="I84" s="52" t="s">
        <v>917</v>
      </c>
      <c r="J84" s="52" t="s">
        <v>528</v>
      </c>
      <c r="K84" s="53">
        <v>46154</v>
      </c>
      <c r="L84" s="34" t="s">
        <v>7</v>
      </c>
      <c r="M84" s="38">
        <v>0.54166666666666663</v>
      </c>
      <c r="N84" s="46">
        <v>0.75</v>
      </c>
      <c r="O84" s="38">
        <f t="shared" si="7"/>
        <v>0.20833333333333337</v>
      </c>
      <c r="P84" s="38">
        <v>0.1875</v>
      </c>
      <c r="Q84" s="38">
        <v>0.5</v>
      </c>
      <c r="R84" s="38">
        <v>1.3888888888888888E-2</v>
      </c>
      <c r="S84" s="38">
        <v>0.52083333333333337</v>
      </c>
      <c r="T84" s="46">
        <v>0.75</v>
      </c>
      <c r="U84" s="38">
        <f t="shared" si="8"/>
        <v>0.52777777777777779</v>
      </c>
      <c r="V84" s="39"/>
      <c r="W84" s="39"/>
      <c r="X84" s="39"/>
      <c r="Y84" s="39">
        <v>0.20833333333333334</v>
      </c>
      <c r="Z84" s="39"/>
      <c r="AA84" s="39"/>
      <c r="AB84" s="39"/>
      <c r="AC84" s="39"/>
    </row>
    <row r="85" spans="1:29" s="25" customFormat="1" ht="24.9" customHeight="1" x14ac:dyDescent="0.3">
      <c r="A85" s="45">
        <v>81</v>
      </c>
      <c r="B85" s="41" t="str">
        <f>IF(E85&lt;&gt;"",INDEX(Datos!D:D,MATCH(TH!E85,Datos!A:A,0)),"")</f>
        <v>ARBOLETES</v>
      </c>
      <c r="C85" s="41" t="str">
        <f>IF(E85&lt;&gt;"",INDEX(Datos!C:C,MATCH(TH!E85,Datos!A:A,0)),"")</f>
        <v>CONDUCTOR</v>
      </c>
      <c r="D85" s="23" t="str">
        <f>IF(E85&lt;&gt;"",INDEX(Datos!B:B,MATCH(TH!E85,Datos!A:A,0)),"")</f>
        <v>MACHADO MENDOZA JUAN EDILSON</v>
      </c>
      <c r="E85">
        <v>1039079165</v>
      </c>
      <c r="F85" s="35" t="s">
        <v>15</v>
      </c>
      <c r="G85" s="36">
        <v>2026</v>
      </c>
      <c r="H85" s="37">
        <v>9</v>
      </c>
      <c r="I85" s="52" t="s">
        <v>917</v>
      </c>
      <c r="J85" s="52" t="s">
        <v>528</v>
      </c>
      <c r="K85" s="53">
        <v>46154</v>
      </c>
      <c r="L85" s="34" t="s">
        <v>7</v>
      </c>
      <c r="M85" s="38">
        <v>0.5625</v>
      </c>
      <c r="N85" s="46">
        <v>0.77083333333333337</v>
      </c>
      <c r="O85" s="38">
        <f t="shared" si="7"/>
        <v>0.20833333333333337</v>
      </c>
      <c r="P85" s="38">
        <v>0.25</v>
      </c>
      <c r="Q85" s="38">
        <v>0.5</v>
      </c>
      <c r="R85" s="38">
        <v>1.3888888888888888E-2</v>
      </c>
      <c r="S85" s="38">
        <v>0.52083333333333337</v>
      </c>
      <c r="T85" s="46">
        <v>0.77083333333333337</v>
      </c>
      <c r="U85" s="38">
        <f>(Q85-P85)+(T85-S85)-R85</f>
        <v>0.4861111111111111</v>
      </c>
      <c r="V85" s="39"/>
      <c r="W85" s="39"/>
      <c r="X85" s="39"/>
      <c r="Y85" s="39">
        <v>0.20833333333333334</v>
      </c>
      <c r="Z85" s="39"/>
      <c r="AA85" s="39"/>
      <c r="AB85" s="39"/>
      <c r="AC85" s="39"/>
    </row>
    <row r="86" spans="1:29" s="25" customFormat="1" ht="24.9" customHeight="1" x14ac:dyDescent="0.3">
      <c r="A86" s="45">
        <v>82</v>
      </c>
      <c r="B86" s="41" t="str">
        <f>IF(E86&lt;&gt;"",INDEX(Datos!D:D,MATCH(TH!E86,Datos!A:A,0)),"")</f>
        <v>CAUCASIA</v>
      </c>
      <c r="C86" s="41" t="str">
        <f>IF(E86&lt;&gt;"",INDEX(Datos!C:C,MATCH(TH!E86,Datos!A:A,0)),"")</f>
        <v>COORDINADOR MECANICO</v>
      </c>
      <c r="D86" s="23" t="str">
        <f>IF(E86&lt;&gt;"",INDEX(Datos!B:B,MATCH(TH!E86,Datos!A:A,0)),"")</f>
        <v>RIOS VEGA DUVAN ADOLFO</v>
      </c>
      <c r="E86">
        <v>1007519039</v>
      </c>
      <c r="F86" s="35" t="s">
        <v>4</v>
      </c>
      <c r="G86" s="36">
        <v>2026</v>
      </c>
      <c r="H86" s="37">
        <v>9</v>
      </c>
      <c r="I86" s="52" t="s">
        <v>867</v>
      </c>
      <c r="J86" s="52" t="s">
        <v>528</v>
      </c>
      <c r="K86" s="53">
        <v>46154</v>
      </c>
      <c r="L86" s="34" t="s">
        <v>7</v>
      </c>
      <c r="M86" s="38">
        <v>0.79166666666666663</v>
      </c>
      <c r="N86" s="46">
        <v>0.83333333333333337</v>
      </c>
      <c r="O86" s="38">
        <f t="shared" si="7"/>
        <v>4.1666666666666741E-2</v>
      </c>
      <c r="P86" s="38">
        <v>0.54166666666666663</v>
      </c>
      <c r="Q86" s="38">
        <v>0</v>
      </c>
      <c r="R86" s="38">
        <v>0</v>
      </c>
      <c r="S86" s="38">
        <v>0</v>
      </c>
      <c r="T86" s="46">
        <v>0.83333333333333337</v>
      </c>
      <c r="U86" s="38">
        <f>(Q86-P86)+(T86-S86)-R86</f>
        <v>0.29166666666666674</v>
      </c>
      <c r="V86" s="39">
        <v>4.1666666666666664E-2</v>
      </c>
      <c r="W86" s="39"/>
      <c r="X86" s="39"/>
      <c r="Y86" s="39"/>
      <c r="Z86" s="39"/>
      <c r="AA86" s="39"/>
      <c r="AB86" s="39"/>
      <c r="AC86" s="39"/>
    </row>
    <row r="87" spans="1:29" s="25" customFormat="1" ht="24.9" customHeight="1" x14ac:dyDescent="0.3">
      <c r="A87" s="44">
        <v>83</v>
      </c>
      <c r="B87" s="41" t="str">
        <f>IF(E87&lt;&gt;"",INDEX(Datos!D:D,MATCH(TH!E87,Datos!A:A,0)),"")</f>
        <v>CAUCASIA</v>
      </c>
      <c r="C87" s="41" t="str">
        <f>IF(E87&lt;&gt;"",INDEX(Datos!C:C,MATCH(TH!E87,Datos!A:A,0)),"")</f>
        <v>OPERARIO RECOLECCION Y B.V</v>
      </c>
      <c r="D87" s="23" t="str">
        <f>IF(E87&lt;&gt;"",INDEX(Datos!B:B,MATCH(TH!E87,Datos!A:A,0)),"")</f>
        <v>PALACIOS MARQUEZ WILMER GABRIEL</v>
      </c>
      <c r="E87">
        <v>73195683</v>
      </c>
      <c r="F87" s="35" t="s">
        <v>15</v>
      </c>
      <c r="G87" s="36">
        <v>2026</v>
      </c>
      <c r="H87" s="37">
        <v>9</v>
      </c>
      <c r="I87" s="52" t="s">
        <v>868</v>
      </c>
      <c r="J87" s="52" t="s">
        <v>528</v>
      </c>
      <c r="K87" s="53">
        <v>46154</v>
      </c>
      <c r="L87" s="34" t="s">
        <v>7</v>
      </c>
      <c r="M87" s="38">
        <v>0.60416666666666663</v>
      </c>
      <c r="N87" s="46">
        <v>0.6875</v>
      </c>
      <c r="O87" s="38">
        <f t="shared" si="7"/>
        <v>8.333333333333337E-2</v>
      </c>
      <c r="P87" s="38">
        <v>0.25</v>
      </c>
      <c r="Q87" s="38">
        <v>0.5</v>
      </c>
      <c r="R87" s="38">
        <v>1.3888888888888888E-2</v>
      </c>
      <c r="S87" s="38">
        <v>0.52083333333333337</v>
      </c>
      <c r="T87" s="46">
        <v>0.6875</v>
      </c>
      <c r="U87" s="38">
        <f t="shared" ref="U87:U89" si="9">(Q87-P87)+(T87-S87)-R87</f>
        <v>0.40277777777777773</v>
      </c>
      <c r="V87" s="39"/>
      <c r="W87" s="39"/>
      <c r="X87" s="39"/>
      <c r="Y87" s="39">
        <v>8.3333333333333329E-2</v>
      </c>
      <c r="Z87" s="39"/>
      <c r="AA87" s="39"/>
      <c r="AB87" s="39"/>
      <c r="AC87" s="39"/>
    </row>
    <row r="88" spans="1:29" s="25" customFormat="1" ht="24.9" customHeight="1" x14ac:dyDescent="0.3">
      <c r="A88" s="44">
        <v>84</v>
      </c>
      <c r="B88" s="41" t="str">
        <f>IF(E88&lt;&gt;"",INDEX(Datos!D:D,MATCH(TH!E88,Datos!A:A,0)),"")</f>
        <v>CAUCASIA</v>
      </c>
      <c r="C88" s="41" t="str">
        <f>IF(E88&lt;&gt;"",INDEX(Datos!C:C,MATCH(TH!E88,Datos!A:A,0)),"")</f>
        <v>OPERARIO RECOLECCION Y B.V</v>
      </c>
      <c r="D88" s="23" t="str">
        <f>IF(E88&lt;&gt;"",INDEX(Datos!B:B,MATCH(TH!E88,Datos!A:A,0)),"")</f>
        <v>OVIEDO PEﾑA LUIS FERNANDO</v>
      </c>
      <c r="E88">
        <v>1007350657</v>
      </c>
      <c r="F88" s="35" t="s">
        <v>15</v>
      </c>
      <c r="G88" s="36">
        <v>2026</v>
      </c>
      <c r="H88" s="37">
        <v>9</v>
      </c>
      <c r="I88" s="52" t="s">
        <v>868</v>
      </c>
      <c r="J88" s="52" t="s">
        <v>528</v>
      </c>
      <c r="K88" s="53">
        <v>46154</v>
      </c>
      <c r="L88" s="34" t="s">
        <v>7</v>
      </c>
      <c r="M88" s="38">
        <v>0.60416666666666663</v>
      </c>
      <c r="N88" s="46">
        <v>0.6875</v>
      </c>
      <c r="O88" s="38">
        <f>+N88-M88</f>
        <v>8.333333333333337E-2</v>
      </c>
      <c r="P88" s="38">
        <v>0.25</v>
      </c>
      <c r="Q88" s="38">
        <v>0.5</v>
      </c>
      <c r="R88" s="38">
        <v>1.3888888888888888E-2</v>
      </c>
      <c r="S88" s="38">
        <v>0.52083333333333337</v>
      </c>
      <c r="T88" s="46">
        <v>0.6875</v>
      </c>
      <c r="U88" s="38">
        <f t="shared" si="9"/>
        <v>0.40277777777777773</v>
      </c>
      <c r="V88" s="39"/>
      <c r="W88" s="39"/>
      <c r="X88" s="39"/>
      <c r="Y88" s="39">
        <v>8.3333333333333329E-2</v>
      </c>
      <c r="Z88" s="39"/>
      <c r="AA88" s="39"/>
      <c r="AB88" s="39"/>
      <c r="AC88" s="39"/>
    </row>
    <row r="89" spans="1:29" s="25" customFormat="1" ht="24.9" customHeight="1" x14ac:dyDescent="0.3">
      <c r="A89" s="45">
        <v>85</v>
      </c>
      <c r="B89" s="41" t="str">
        <f>IF(E89&lt;&gt;"",INDEX(Datos!D:D,MATCH(TH!E89,Datos!A:A,0)),"")</f>
        <v>CAUCASIA</v>
      </c>
      <c r="C89" s="41" t="str">
        <f>IF(E89&lt;&gt;"",INDEX(Datos!C:C,MATCH(TH!E89,Datos!A:A,0)),"")</f>
        <v>OPERARIO RECOLECCION Y B.V</v>
      </c>
      <c r="D89" s="23" t="str">
        <f>IF(E89&lt;&gt;"",INDEX(Datos!B:B,MATCH(TH!E89,Datos!A:A,0)),"")</f>
        <v>CASTILLO CORREA WILMER</v>
      </c>
      <c r="E89">
        <v>1038133321</v>
      </c>
      <c r="F89" s="35" t="s">
        <v>15</v>
      </c>
      <c r="G89" s="36">
        <v>2026</v>
      </c>
      <c r="H89" s="37">
        <v>9</v>
      </c>
      <c r="I89" s="52" t="s">
        <v>867</v>
      </c>
      <c r="J89" s="52" t="s">
        <v>528</v>
      </c>
      <c r="K89" s="53">
        <v>46154</v>
      </c>
      <c r="L89" s="34" t="s">
        <v>7</v>
      </c>
      <c r="M89" s="38">
        <v>0.60416666666666663</v>
      </c>
      <c r="N89" s="46">
        <v>0.64583333333333337</v>
      </c>
      <c r="O89" s="38">
        <f>+N89-M89</f>
        <v>4.1666666666666741E-2</v>
      </c>
      <c r="P89" s="38">
        <v>0.25</v>
      </c>
      <c r="Q89" s="38">
        <v>0.5</v>
      </c>
      <c r="R89" s="38">
        <v>1.3888888888888888E-2</v>
      </c>
      <c r="S89" s="38">
        <v>0.52083333333333337</v>
      </c>
      <c r="T89" s="46">
        <v>0.64583333333333337</v>
      </c>
      <c r="U89" s="38">
        <f t="shared" si="9"/>
        <v>0.3611111111111111</v>
      </c>
      <c r="V89" s="39"/>
      <c r="W89" s="39"/>
      <c r="X89" s="39"/>
      <c r="Y89" s="39">
        <v>4.1666666666666664E-2</v>
      </c>
      <c r="Z89" s="39"/>
      <c r="AA89" s="39"/>
      <c r="AB89" s="39"/>
      <c r="AC89" s="39"/>
    </row>
    <row r="90" spans="1:29" s="25" customFormat="1" ht="24.9" customHeight="1" x14ac:dyDescent="0.3">
      <c r="A90" s="44">
        <v>86</v>
      </c>
      <c r="B90" s="41" t="str">
        <f>IF(E90&lt;&gt;"",INDEX(Datos!D:D,MATCH(TH!E90,Datos!A:A,0)),"")</f>
        <v>CAUCASIA</v>
      </c>
      <c r="C90" s="41" t="str">
        <f>IF(E90&lt;&gt;"",INDEX(Datos!C:C,MATCH(TH!E90,Datos!A:A,0)),"")</f>
        <v>OPERARIO BARRIDO VIAL</v>
      </c>
      <c r="D90" s="23" t="str">
        <f>IF(E90&lt;&gt;"",INDEX(Datos!B:B,MATCH(TH!E90,Datos!A:A,0)),"")</f>
        <v>TREJOS CANOLE ALEX</v>
      </c>
      <c r="E90">
        <v>1148191271</v>
      </c>
      <c r="F90" s="35" t="s">
        <v>15</v>
      </c>
      <c r="G90" s="36">
        <v>2026</v>
      </c>
      <c r="H90" s="37">
        <v>9</v>
      </c>
      <c r="I90" s="52" t="s">
        <v>867</v>
      </c>
      <c r="J90" s="52" t="s">
        <v>528</v>
      </c>
      <c r="K90" s="53">
        <v>46154</v>
      </c>
      <c r="L90" s="34" t="s">
        <v>7</v>
      </c>
      <c r="M90" s="38">
        <v>0.60416666666666663</v>
      </c>
      <c r="N90" s="46">
        <v>0.64583333333333337</v>
      </c>
      <c r="O90" s="38">
        <f>+N90-M90</f>
        <v>4.1666666666666741E-2</v>
      </c>
      <c r="P90" s="38">
        <v>0.25</v>
      </c>
      <c r="Q90" s="38">
        <v>0.5</v>
      </c>
      <c r="R90" s="38">
        <v>1.3888888888888888E-2</v>
      </c>
      <c r="S90" s="38">
        <v>0.52083333333333337</v>
      </c>
      <c r="T90" s="46">
        <v>0.64583333333333337</v>
      </c>
      <c r="U90" s="38">
        <f>(Q90-P90)+(T90-S90)-R90</f>
        <v>0.3611111111111111</v>
      </c>
      <c r="V90" s="39"/>
      <c r="W90" s="39"/>
      <c r="X90" s="39"/>
      <c r="Y90" s="39">
        <v>4.1666666666666664E-2</v>
      </c>
      <c r="Z90" s="39"/>
      <c r="AA90" s="39"/>
      <c r="AB90" s="39"/>
      <c r="AC90" s="39"/>
    </row>
    <row r="91" spans="1:29" s="25" customFormat="1" ht="24.9" customHeight="1" x14ac:dyDescent="0.3">
      <c r="A91" s="45">
        <v>87</v>
      </c>
      <c r="B91" s="41" t="str">
        <f>IF(E91&lt;&gt;"",INDEX(Datos!D:D,MATCH(TH!E91,Datos!A:A,0)),"")</f>
        <v>CAUCASIA</v>
      </c>
      <c r="C91" s="41" t="str">
        <f>IF(E91&lt;&gt;"",INDEX(Datos!C:C,MATCH(TH!E91,Datos!A:A,0)),"")</f>
        <v>OPERARIO BARRIDO VIAL</v>
      </c>
      <c r="D91" s="23" t="str">
        <f>IF(E91&lt;&gt;"",INDEX(Datos!B:B,MATCH(TH!E91,Datos!A:A,0)),"")</f>
        <v>CORCHO LONDOÑO JAIRO CESAR</v>
      </c>
      <c r="E91">
        <v>1073969484</v>
      </c>
      <c r="F91" s="35" t="s">
        <v>15</v>
      </c>
      <c r="G91" s="36">
        <v>2026</v>
      </c>
      <c r="H91" s="37">
        <v>9</v>
      </c>
      <c r="I91" s="52" t="s">
        <v>868</v>
      </c>
      <c r="J91" s="52" t="s">
        <v>528</v>
      </c>
      <c r="K91" s="53">
        <v>46154</v>
      </c>
      <c r="L91" s="34" t="s">
        <v>7</v>
      </c>
      <c r="M91" s="38">
        <v>0.60416666666666663</v>
      </c>
      <c r="N91" s="46">
        <v>0.6875</v>
      </c>
      <c r="O91" s="38">
        <f>+N91-M91</f>
        <v>8.333333333333337E-2</v>
      </c>
      <c r="P91" s="38">
        <v>0.25</v>
      </c>
      <c r="Q91" s="38">
        <v>0.5</v>
      </c>
      <c r="R91" s="38">
        <v>1.3888888888888888E-2</v>
      </c>
      <c r="S91" s="38">
        <v>0.52083333333333337</v>
      </c>
      <c r="T91" s="46">
        <v>0.6875</v>
      </c>
      <c r="U91" s="38">
        <f>(Q91-P91)+(T91-S91)-R91</f>
        <v>0.40277777777777773</v>
      </c>
      <c r="V91" s="39"/>
      <c r="W91" s="39"/>
      <c r="X91" s="39"/>
      <c r="Y91" s="39">
        <v>8.3333333333333329E-2</v>
      </c>
      <c r="Z91" s="39"/>
      <c r="AA91" s="39"/>
      <c r="AB91" s="39"/>
      <c r="AC91" s="39"/>
    </row>
    <row r="92" spans="1:29" s="25" customFormat="1" ht="24.9" customHeight="1" x14ac:dyDescent="0.3">
      <c r="A92" s="45">
        <v>88</v>
      </c>
      <c r="B92" s="41" t="str">
        <f>IF(E92&lt;&gt;"",INDEX(Datos!D:D,MATCH(TH!E92,Datos!A:A,0)),"")</f>
        <v>CAUCASIA</v>
      </c>
      <c r="C92" s="41" t="str">
        <f>IF(E92&lt;&gt;"",INDEX(Datos!C:C,MATCH(TH!E92,Datos!A:A,0)),"")</f>
        <v>OPERARIO BARRIDO VIAL</v>
      </c>
      <c r="D92" s="23" t="str">
        <f>IF(E92&lt;&gt;"",INDEX(Datos!B:B,MATCH(TH!E92,Datos!A:A,0)),"")</f>
        <v>FERREIRA PAEZ ALDAIR DAVID</v>
      </c>
      <c r="E92">
        <v>1129501179</v>
      </c>
      <c r="F92" s="35" t="s">
        <v>15</v>
      </c>
      <c r="G92" s="36">
        <v>2026</v>
      </c>
      <c r="H92" s="37">
        <v>9</v>
      </c>
      <c r="I92" s="52" t="s">
        <v>867</v>
      </c>
      <c r="J92" s="52" t="s">
        <v>528</v>
      </c>
      <c r="K92" s="53">
        <v>46154</v>
      </c>
      <c r="L92" s="34" t="s">
        <v>7</v>
      </c>
      <c r="M92" s="38">
        <v>0.60416666666666663</v>
      </c>
      <c r="N92" s="46">
        <v>0.64583333333333337</v>
      </c>
      <c r="O92" s="38">
        <f>+N92-M92</f>
        <v>4.1666666666666741E-2</v>
      </c>
      <c r="P92" s="38">
        <v>0.25</v>
      </c>
      <c r="Q92" s="38">
        <v>0.5</v>
      </c>
      <c r="R92" s="38">
        <v>1.3888888888888888E-2</v>
      </c>
      <c r="S92" s="38">
        <v>0.52083333333333337</v>
      </c>
      <c r="T92" s="46">
        <v>0.64583333333333337</v>
      </c>
      <c r="U92" s="38">
        <f t="shared" ref="U92:U99" si="10">(Q92-P92)+(T92-S92)-R92</f>
        <v>0.3611111111111111</v>
      </c>
      <c r="V92" s="39"/>
      <c r="W92" s="39"/>
      <c r="X92" s="39"/>
      <c r="Y92" s="39">
        <v>4.1666666666666664E-2</v>
      </c>
      <c r="Z92" s="39"/>
      <c r="AA92" s="39"/>
      <c r="AB92" s="39"/>
      <c r="AC92" s="39"/>
    </row>
    <row r="93" spans="1:29" s="25" customFormat="1" ht="24.9" customHeight="1" x14ac:dyDescent="0.3">
      <c r="A93" s="44">
        <v>89</v>
      </c>
      <c r="B93" s="41" t="str">
        <f>IF(E93&lt;&gt;"",INDEX(Datos!D:D,MATCH(TH!E93,Datos!A:A,0)),"")</f>
        <v>CAUCASIA</v>
      </c>
      <c r="C93" s="41" t="str">
        <f>IF(E93&lt;&gt;"",INDEX(Datos!C:C,MATCH(TH!E93,Datos!A:A,0)),"")</f>
        <v>CONDUCTOR MOTOCARRO</v>
      </c>
      <c r="D93" s="23" t="str">
        <f>IF(E93&lt;&gt;"",INDEX(Datos!B:B,MATCH(TH!E93,Datos!A:A,0)),"")</f>
        <v>VALENCIA MADRIGAL JULIAN</v>
      </c>
      <c r="E93">
        <v>1038100514</v>
      </c>
      <c r="F93" s="35" t="s">
        <v>15</v>
      </c>
      <c r="G93" s="36">
        <v>2026</v>
      </c>
      <c r="H93" s="37">
        <v>9</v>
      </c>
      <c r="I93" s="52" t="s">
        <v>867</v>
      </c>
      <c r="J93" s="52" t="s">
        <v>528</v>
      </c>
      <c r="K93" s="53">
        <v>46154</v>
      </c>
      <c r="L93" s="34" t="s">
        <v>7</v>
      </c>
      <c r="M93" s="38">
        <v>0.60416666666666663</v>
      </c>
      <c r="N93" s="46">
        <v>0.64583333333333337</v>
      </c>
      <c r="O93" s="38">
        <f t="shared" ref="O93:O99" si="11">+N93-M93</f>
        <v>4.1666666666666741E-2</v>
      </c>
      <c r="P93" s="38">
        <v>0.25</v>
      </c>
      <c r="Q93" s="38">
        <v>0.5</v>
      </c>
      <c r="R93" s="38">
        <v>1.3888888888888888E-2</v>
      </c>
      <c r="S93" s="38">
        <v>0.52083333333333337</v>
      </c>
      <c r="T93" s="46">
        <v>0.64583333333333337</v>
      </c>
      <c r="U93" s="38">
        <f t="shared" si="10"/>
        <v>0.3611111111111111</v>
      </c>
      <c r="V93" s="39"/>
      <c r="W93" s="39"/>
      <c r="X93" s="39"/>
      <c r="Y93" s="39">
        <v>4.1666666666666664E-2</v>
      </c>
      <c r="Z93" s="39"/>
      <c r="AA93" s="39"/>
      <c r="AB93" s="39"/>
      <c r="AC93" s="39"/>
    </row>
    <row r="94" spans="1:29" s="25" customFormat="1" ht="24.75" customHeight="1" x14ac:dyDescent="0.3">
      <c r="A94" s="44">
        <v>90</v>
      </c>
      <c r="B94" s="41" t="str">
        <f>IF(E94&lt;&gt;"",INDEX(Datos!D:D,MATCH(TH!E94,Datos!A:A,0)),"")</f>
        <v>CAUCASIA</v>
      </c>
      <c r="C94" s="41" t="str">
        <f>IF(E94&lt;&gt;"",INDEX(Datos!C:C,MATCH(TH!E94,Datos!A:A,0)),"")</f>
        <v>CONDUCTOR</v>
      </c>
      <c r="D94" s="23" t="str">
        <f>IF(E94&lt;&gt;"",INDEX(Datos!B:B,MATCH(TH!E94,Datos!A:A,0)),"")</f>
        <v>CANOLE GIL ELIAN DARIO</v>
      </c>
      <c r="E94">
        <v>1001533310</v>
      </c>
      <c r="F94" s="35" t="s">
        <v>4</v>
      </c>
      <c r="G94" s="36">
        <v>2026</v>
      </c>
      <c r="H94" s="37">
        <v>9</v>
      </c>
      <c r="I94" s="52" t="s">
        <v>917</v>
      </c>
      <c r="J94" s="52" t="s">
        <v>528</v>
      </c>
      <c r="K94" s="53">
        <v>46154</v>
      </c>
      <c r="L94" s="34" t="s">
        <v>7</v>
      </c>
      <c r="M94" s="38">
        <v>4.1666666666666664E-2</v>
      </c>
      <c r="N94" s="46">
        <v>0.25</v>
      </c>
      <c r="O94" s="38">
        <f t="shared" si="11"/>
        <v>0.20833333333333334</v>
      </c>
      <c r="P94" s="38">
        <v>4.1666666666666664E-2</v>
      </c>
      <c r="Q94" s="38">
        <v>0</v>
      </c>
      <c r="R94" s="38">
        <v>0</v>
      </c>
      <c r="S94" s="38">
        <v>0</v>
      </c>
      <c r="T94" s="46">
        <v>0.54166666666666663</v>
      </c>
      <c r="U94" s="38">
        <f t="shared" si="10"/>
        <v>0.49999999999999994</v>
      </c>
      <c r="V94" s="39">
        <v>0.20833333333333334</v>
      </c>
      <c r="W94" s="39"/>
      <c r="X94" s="39"/>
      <c r="Y94" s="39"/>
      <c r="Z94" s="39"/>
      <c r="AA94" s="39"/>
      <c r="AB94" s="39"/>
      <c r="AC94" s="39"/>
    </row>
    <row r="95" spans="1:29" ht="25.5" customHeight="1" x14ac:dyDescent="0.3">
      <c r="A95" s="45">
        <v>91</v>
      </c>
      <c r="B95" s="41" t="str">
        <f>IF(E95&lt;&gt;"",INDEX(Datos!D:D,MATCH(TH!E95,Datos!A:A,0)),"")</f>
        <v>CAUCASIA</v>
      </c>
      <c r="C95" s="41" t="str">
        <f>IF(E95&lt;&gt;"",INDEX(Datos!C:C,MATCH(TH!E95,Datos!A:A,0)),"")</f>
        <v>CONDUCTOR</v>
      </c>
      <c r="D95" s="23" t="str">
        <f>IF(E95&lt;&gt;"",INDEX(Datos!B:B,MATCH(TH!E95,Datos!A:A,0)),"")</f>
        <v>CANOLE GIL ELIAN DARIO</v>
      </c>
      <c r="E95">
        <v>1001533310</v>
      </c>
      <c r="F95" s="35" t="s">
        <v>15</v>
      </c>
      <c r="G95" s="36">
        <v>2026</v>
      </c>
      <c r="H95" s="37">
        <v>9</v>
      </c>
      <c r="I95" s="52" t="s">
        <v>969</v>
      </c>
      <c r="J95" s="52" t="s">
        <v>528</v>
      </c>
      <c r="K95" s="53">
        <v>46154</v>
      </c>
      <c r="L95" s="34" t="s">
        <v>7</v>
      </c>
      <c r="M95" s="38">
        <v>0.375</v>
      </c>
      <c r="N95" s="46">
        <v>0.54166666666666663</v>
      </c>
      <c r="O95" s="38">
        <f>+N95-M95</f>
        <v>0.16666666666666663</v>
      </c>
      <c r="P95" s="38">
        <v>4.1666666666666664E-2</v>
      </c>
      <c r="Q95" s="38">
        <v>0</v>
      </c>
      <c r="R95" s="38">
        <v>0</v>
      </c>
      <c r="S95" s="38">
        <v>0</v>
      </c>
      <c r="T95" s="46">
        <v>0.54166666666666663</v>
      </c>
      <c r="U95" s="38">
        <f t="shared" si="10"/>
        <v>0.49999999999999994</v>
      </c>
      <c r="V95" s="39"/>
      <c r="W95" s="39"/>
      <c r="X95" s="39"/>
      <c r="Y95" s="39">
        <v>0.16666666666666666</v>
      </c>
      <c r="Z95" s="39"/>
      <c r="AA95" s="39"/>
      <c r="AB95" s="39"/>
      <c r="AC95" s="39"/>
    </row>
    <row r="96" spans="1:29" ht="26.25" customHeight="1" x14ac:dyDescent="0.3">
      <c r="A96" s="44">
        <v>92</v>
      </c>
      <c r="B96" s="41" t="str">
        <f>IF(E96&lt;&gt;"",INDEX(Datos!D:D,MATCH(TH!E96,Datos!A:A,0)),"")</f>
        <v>CAUCASIA</v>
      </c>
      <c r="C96" s="41" t="str">
        <f>IF(E96&lt;&gt;"",INDEX(Datos!C:C,MATCH(TH!E96,Datos!A:A,0)),"")</f>
        <v>CONDUCTOR</v>
      </c>
      <c r="D96" s="23" t="str">
        <f>IF(E96&lt;&gt;"",INDEX(Datos!B:B,MATCH(TH!E96,Datos!A:A,0)),"")</f>
        <v>RESTREPO CARO ANGEL ANIBAL</v>
      </c>
      <c r="E96">
        <v>1038100612</v>
      </c>
      <c r="F96" s="35" t="s">
        <v>15</v>
      </c>
      <c r="G96" s="36">
        <v>2026</v>
      </c>
      <c r="H96" s="37">
        <v>9</v>
      </c>
      <c r="I96" s="52" t="s">
        <v>867</v>
      </c>
      <c r="J96" s="52" t="s">
        <v>528</v>
      </c>
      <c r="K96" s="53">
        <v>46154</v>
      </c>
      <c r="L96" s="34" t="s">
        <v>7</v>
      </c>
      <c r="M96" s="38">
        <v>0.60416666666666663</v>
      </c>
      <c r="N96" s="46">
        <v>0.64583333333333337</v>
      </c>
      <c r="O96" s="38">
        <f t="shared" si="11"/>
        <v>4.1666666666666741E-2</v>
      </c>
      <c r="P96" s="38">
        <v>0.25</v>
      </c>
      <c r="Q96" s="38">
        <v>0.5</v>
      </c>
      <c r="R96" s="38">
        <v>1.3888888888888888E-2</v>
      </c>
      <c r="S96" s="38">
        <v>0.52083333333333337</v>
      </c>
      <c r="T96" s="46">
        <v>0.64583333333333337</v>
      </c>
      <c r="U96" s="38">
        <f t="shared" si="10"/>
        <v>0.3611111111111111</v>
      </c>
      <c r="V96" s="39"/>
      <c r="W96" s="39"/>
      <c r="X96" s="39"/>
      <c r="Y96" s="39">
        <v>4.1666666666666664E-2</v>
      </c>
      <c r="Z96" s="39"/>
      <c r="AA96" s="39"/>
      <c r="AB96" s="39"/>
      <c r="AC96" s="39"/>
    </row>
    <row r="97" spans="1:29" ht="24.75" customHeight="1" x14ac:dyDescent="0.3">
      <c r="A97" s="45">
        <v>93</v>
      </c>
      <c r="B97" s="41" t="str">
        <f>IF(E97&lt;&gt;"",INDEX(Datos!D:D,MATCH(TH!E97,Datos!A:A,0)),"")</f>
        <v>CAUCASIA</v>
      </c>
      <c r="C97" s="41" t="str">
        <f>IF(E97&lt;&gt;"",INDEX(Datos!C:C,MATCH(TH!E97,Datos!A:A,0)),"")</f>
        <v>CONDUCTOR</v>
      </c>
      <c r="D97" s="23" t="str">
        <f>IF(E97&lt;&gt;"",INDEX(Datos!B:B,MATCH(TH!E97,Datos!A:A,0)),"")</f>
        <v>GONZALEZ VELASQUEZ MANUEL JOVANY</v>
      </c>
      <c r="E97">
        <v>78305114</v>
      </c>
      <c r="F97" s="35" t="s">
        <v>15</v>
      </c>
      <c r="G97" s="36">
        <v>2026</v>
      </c>
      <c r="H97" s="37">
        <v>9</v>
      </c>
      <c r="I97" s="52" t="s">
        <v>868</v>
      </c>
      <c r="J97" s="52" t="s">
        <v>528</v>
      </c>
      <c r="K97" s="53">
        <v>46154</v>
      </c>
      <c r="L97" s="34" t="s">
        <v>7</v>
      </c>
      <c r="M97" s="38">
        <v>0.60416666666666663</v>
      </c>
      <c r="N97" s="46">
        <v>0.6875</v>
      </c>
      <c r="O97" s="38">
        <f t="shared" si="11"/>
        <v>8.333333333333337E-2</v>
      </c>
      <c r="P97" s="38">
        <v>0.25</v>
      </c>
      <c r="Q97" s="38">
        <v>0.5</v>
      </c>
      <c r="R97" s="38">
        <v>1.3888888888888888E-2</v>
      </c>
      <c r="S97" s="38">
        <v>0.52083333333333337</v>
      </c>
      <c r="T97" s="46">
        <v>0.6875</v>
      </c>
      <c r="U97" s="38">
        <f>(Q97-P97)+(T97-S97)-R97</f>
        <v>0.40277777777777773</v>
      </c>
      <c r="V97" s="39"/>
      <c r="W97" s="39"/>
      <c r="X97" s="39"/>
      <c r="Y97" s="39">
        <v>8.3333333333333329E-2</v>
      </c>
      <c r="Z97" s="39"/>
      <c r="AA97" s="39"/>
      <c r="AB97" s="39"/>
      <c r="AC97" s="39"/>
    </row>
    <row r="98" spans="1:29" ht="24.75" customHeight="1" x14ac:dyDescent="0.3">
      <c r="A98" s="45">
        <v>94</v>
      </c>
      <c r="B98" s="41" t="str">
        <f>IF(E98&lt;&gt;"",INDEX(Datos!D:D,MATCH(TH!E98,Datos!A:A,0)),"")</f>
        <v>CAUCASIA</v>
      </c>
      <c r="C98" s="41" t="str">
        <f>IF(E98&lt;&gt;"",INDEX(Datos!C:C,MATCH(TH!E98,Datos!A:A,0)),"")</f>
        <v>CONDUCTOR</v>
      </c>
      <c r="D98" s="23" t="str">
        <f>IF(E98&lt;&gt;"",INDEX(Datos!B:B,MATCH(TH!E98,Datos!A:A,0)),"")</f>
        <v>CEDIEL NIﾑO EUCLIDES</v>
      </c>
      <c r="E98">
        <v>8048422</v>
      </c>
      <c r="F98" s="35" t="s">
        <v>4</v>
      </c>
      <c r="G98" s="36">
        <v>2026</v>
      </c>
      <c r="H98" s="37">
        <v>9</v>
      </c>
      <c r="I98" s="52" t="s">
        <v>867</v>
      </c>
      <c r="J98" s="52" t="s">
        <v>528</v>
      </c>
      <c r="K98" s="53">
        <v>46154</v>
      </c>
      <c r="L98" s="34" t="s">
        <v>7</v>
      </c>
      <c r="M98" s="38">
        <v>0.79166666666666663</v>
      </c>
      <c r="N98" s="46">
        <v>0.83333333333333337</v>
      </c>
      <c r="O98" s="38">
        <f t="shared" si="11"/>
        <v>4.1666666666666741E-2</v>
      </c>
      <c r="P98" s="38">
        <v>0.58333333333333337</v>
      </c>
      <c r="Q98" s="38">
        <v>0</v>
      </c>
      <c r="R98" s="38">
        <v>0</v>
      </c>
      <c r="S98" s="38">
        <v>0</v>
      </c>
      <c r="T98" s="46">
        <v>0.83333333333333337</v>
      </c>
      <c r="U98" s="38">
        <f t="shared" si="10"/>
        <v>0.25</v>
      </c>
      <c r="V98" s="39">
        <v>4.1666666666666664E-2</v>
      </c>
      <c r="W98" s="39"/>
      <c r="X98" s="39"/>
      <c r="Y98" s="39"/>
      <c r="Z98" s="39"/>
      <c r="AA98" s="39"/>
      <c r="AB98" s="39"/>
      <c r="AC98" s="39"/>
    </row>
    <row r="99" spans="1:29" ht="24" customHeight="1" x14ac:dyDescent="0.3">
      <c r="A99" s="44">
        <v>95</v>
      </c>
      <c r="B99" s="41" t="str">
        <f>IF(E99&lt;&gt;"",INDEX(Datos!D:D,MATCH(TH!E99,Datos!A:A,0)),"")</f>
        <v>CAUCASIA</v>
      </c>
      <c r="C99" s="41" t="str">
        <f>IF(E99&lt;&gt;"",INDEX(Datos!C:C,MATCH(TH!E99,Datos!A:A,0)),"")</f>
        <v>CONDUCTOR</v>
      </c>
      <c r="D99" s="23" t="str">
        <f>IF(E99&lt;&gt;"",INDEX(Datos!B:B,MATCH(TH!E99,Datos!A:A,0)),"")</f>
        <v>ROMERO HERNANDEZ MANUEL FRANCISCO</v>
      </c>
      <c r="E99">
        <v>15307071</v>
      </c>
      <c r="F99" s="35" t="s">
        <v>15</v>
      </c>
      <c r="G99" s="36">
        <v>2026</v>
      </c>
      <c r="H99" s="37">
        <v>9</v>
      </c>
      <c r="I99" s="52" t="s">
        <v>868</v>
      </c>
      <c r="J99" s="52" t="s">
        <v>528</v>
      </c>
      <c r="K99" s="53">
        <v>46154</v>
      </c>
      <c r="L99" s="34" t="s">
        <v>7</v>
      </c>
      <c r="M99" s="38">
        <v>0.60416666666666663</v>
      </c>
      <c r="N99" s="46">
        <v>0.6875</v>
      </c>
      <c r="O99" s="38">
        <f t="shared" si="11"/>
        <v>8.333333333333337E-2</v>
      </c>
      <c r="P99" s="38">
        <v>0.25</v>
      </c>
      <c r="Q99" s="38">
        <v>0.5</v>
      </c>
      <c r="R99" s="38">
        <v>1.3888888888888888E-2</v>
      </c>
      <c r="S99" s="38">
        <v>0.52083333333333337</v>
      </c>
      <c r="T99" s="46">
        <v>0.6875</v>
      </c>
      <c r="U99" s="38">
        <f t="shared" si="10"/>
        <v>0.40277777777777773</v>
      </c>
      <c r="V99" s="39"/>
      <c r="W99" s="39"/>
      <c r="X99" s="39"/>
      <c r="Y99" s="39">
        <v>8.3333333333333329E-2</v>
      </c>
      <c r="Z99" s="39"/>
      <c r="AA99" s="39"/>
      <c r="AB99" s="39"/>
      <c r="AC99" s="39"/>
    </row>
    <row r="100" spans="1:29" ht="22.5" customHeight="1" x14ac:dyDescent="0.3">
      <c r="A100" s="44">
        <v>96</v>
      </c>
      <c r="B100" s="41" t="str">
        <f>IF(E100&lt;&gt;"",INDEX(Datos!D:D,MATCH(TH!E100,Datos!A:A,0)),"")</f>
        <v>CAUCASIA</v>
      </c>
      <c r="C100" s="41" t="str">
        <f>IF(E100&lt;&gt;"",INDEX(Datos!C:C,MATCH(TH!E100,Datos!A:A,0)),"")</f>
        <v>OPERARIO RECOLECCION Y B.V</v>
      </c>
      <c r="D100" s="23" t="str">
        <f>IF(E100&lt;&gt;"",INDEX(Datos!B:B,MATCH(TH!E100,Datos!A:A,0)),"")</f>
        <v>MACHADO  DIAZ JONATHAN ALEXANDER</v>
      </c>
      <c r="E100">
        <v>5107144</v>
      </c>
      <c r="F100" s="35" t="s">
        <v>15</v>
      </c>
      <c r="G100" s="36">
        <v>2026</v>
      </c>
      <c r="H100" s="37">
        <v>9</v>
      </c>
      <c r="I100" s="52" t="s">
        <v>868</v>
      </c>
      <c r="J100" s="52" t="s">
        <v>528</v>
      </c>
      <c r="K100" s="53">
        <v>46154</v>
      </c>
      <c r="L100" s="34" t="s">
        <v>7</v>
      </c>
      <c r="M100" s="38">
        <v>0.60416666666666663</v>
      </c>
      <c r="N100" s="46">
        <v>0.6875</v>
      </c>
      <c r="O100" s="38">
        <f t="shared" si="7"/>
        <v>8.333333333333337E-2</v>
      </c>
      <c r="P100" s="38">
        <v>0.25</v>
      </c>
      <c r="Q100" s="38">
        <v>0.5</v>
      </c>
      <c r="R100" s="38">
        <v>1.3888888888888888E-2</v>
      </c>
      <c r="S100" s="38">
        <v>0.52083333333333337</v>
      </c>
      <c r="T100" s="46">
        <v>0.6875</v>
      </c>
      <c r="U100" s="38">
        <f t="shared" si="8"/>
        <v>0.40277777777777773</v>
      </c>
      <c r="V100" s="39"/>
      <c r="W100" s="39"/>
      <c r="X100" s="39"/>
      <c r="Y100" s="39">
        <v>8.3333333333333329E-2</v>
      </c>
      <c r="Z100" s="39"/>
      <c r="AA100" s="39"/>
      <c r="AB100" s="39"/>
      <c r="AC100" s="40"/>
    </row>
    <row r="101" spans="1:29" ht="18" customHeight="1" x14ac:dyDescent="0.3">
      <c r="A101" s="45">
        <v>97</v>
      </c>
      <c r="B101" s="41" t="str">
        <f>IF(E101&lt;&gt;"",INDEX(Datos!D:D,MATCH(TH!E101,Datos!A:A,0)),"")</f>
        <v>CAUCASIA</v>
      </c>
      <c r="C101" s="41" t="str">
        <f>IF(E101&lt;&gt;"",INDEX(Datos!C:C,MATCH(TH!E101,Datos!A:A,0)),"")</f>
        <v>OPERARIO RECOLECCION Y B.V</v>
      </c>
      <c r="D101" s="23" t="str">
        <f>IF(E101&lt;&gt;"",INDEX(Datos!B:B,MATCH(TH!E101,Datos!A:A,0)),"")</f>
        <v>CASTRO SERRANO JUAN CARLOS</v>
      </c>
      <c r="E101">
        <v>1007536066</v>
      </c>
      <c r="F101" s="35" t="s">
        <v>15</v>
      </c>
      <c r="G101" s="36">
        <v>2026</v>
      </c>
      <c r="H101" s="37">
        <v>9</v>
      </c>
      <c r="I101" s="52" t="s">
        <v>969</v>
      </c>
      <c r="J101" s="52" t="s">
        <v>528</v>
      </c>
      <c r="K101" s="53">
        <v>46154</v>
      </c>
      <c r="L101" s="34" t="s">
        <v>7</v>
      </c>
      <c r="M101" s="38">
        <v>0.60416666666666663</v>
      </c>
      <c r="N101" s="46">
        <v>0.77083333333333337</v>
      </c>
      <c r="O101" s="38">
        <f>+N101-M101</f>
        <v>0.16666666666666674</v>
      </c>
      <c r="P101" s="38">
        <v>0.25</v>
      </c>
      <c r="Q101" s="38">
        <v>0.5</v>
      </c>
      <c r="R101" s="38">
        <v>1.3888888888888888E-2</v>
      </c>
      <c r="S101" s="38">
        <v>0.52083333333333337</v>
      </c>
      <c r="T101" s="46">
        <v>0.77083333333333337</v>
      </c>
      <c r="U101" s="38">
        <f>(Q101-P101)+(T101-S101)-R101</f>
        <v>0.4861111111111111</v>
      </c>
      <c r="V101" s="39"/>
      <c r="W101" s="39"/>
      <c r="X101" s="39"/>
      <c r="Y101" s="39">
        <v>0.16666666666666666</v>
      </c>
      <c r="Z101" s="39"/>
      <c r="AA101" s="39"/>
      <c r="AB101" s="39"/>
      <c r="AC101" s="40"/>
    </row>
    <row r="102" spans="1:29" ht="18" customHeight="1" x14ac:dyDescent="0.3">
      <c r="A102" s="44">
        <v>98</v>
      </c>
      <c r="B102" s="41" t="str">
        <f>IF(E102&lt;&gt;"",INDEX(Datos!D:D,MATCH(TH!E102,Datos!A:A,0)),"")</f>
        <v>CAUCASIA</v>
      </c>
      <c r="C102" s="41" t="str">
        <f>IF(E102&lt;&gt;"",INDEX(Datos!C:C,MATCH(TH!E102,Datos!A:A,0)),"")</f>
        <v>OPERARIO BARRIDO VIAL</v>
      </c>
      <c r="D102" s="23" t="str">
        <f>IF(E102&lt;&gt;"",INDEX(Datos!B:B,MATCH(TH!E102,Datos!A:A,0)),"")</f>
        <v>MIRANDA RESTREPO YEISON ANDRES</v>
      </c>
      <c r="E102">
        <v>1001534548</v>
      </c>
      <c r="F102" s="35" t="s">
        <v>15</v>
      </c>
      <c r="G102" s="36">
        <v>2026</v>
      </c>
      <c r="H102" s="37">
        <v>9</v>
      </c>
      <c r="I102" s="52" t="s">
        <v>969</v>
      </c>
      <c r="J102" s="52" t="s">
        <v>528</v>
      </c>
      <c r="K102" s="53">
        <v>46154</v>
      </c>
      <c r="L102" s="34" t="s">
        <v>7</v>
      </c>
      <c r="M102" s="38">
        <v>0.60416666666666663</v>
      </c>
      <c r="N102" s="46">
        <v>0.77083333333333337</v>
      </c>
      <c r="O102" s="38">
        <f>+N102-M102</f>
        <v>0.16666666666666674</v>
      </c>
      <c r="P102" s="38">
        <v>0.25</v>
      </c>
      <c r="Q102" s="38">
        <v>0.5</v>
      </c>
      <c r="R102" s="38">
        <v>1.3888888888888888E-2</v>
      </c>
      <c r="S102" s="38">
        <v>0.52083333333333337</v>
      </c>
      <c r="T102" s="46">
        <v>0.77083333333333337</v>
      </c>
      <c r="U102" s="38">
        <f>(Q102-P102)+(T102-S102)-R102</f>
        <v>0.4861111111111111</v>
      </c>
      <c r="V102" s="39"/>
      <c r="W102" s="39"/>
      <c r="X102" s="39"/>
      <c r="Y102" s="39">
        <v>0.16666666666666666</v>
      </c>
      <c r="Z102" s="39"/>
      <c r="AA102" s="39"/>
      <c r="AB102" s="39"/>
      <c r="AC102" s="40"/>
    </row>
    <row r="103" spans="1:29" ht="18" customHeight="1" x14ac:dyDescent="0.3">
      <c r="A103" s="45">
        <v>99</v>
      </c>
      <c r="B103" s="41" t="str">
        <f>IF(E103&lt;&gt;"",INDEX(Datos!D:D,MATCH(TH!E103,Datos!A:A,0)),"")</f>
        <v>CAUCASIA</v>
      </c>
      <c r="C103" s="41" t="str">
        <f>IF(E103&lt;&gt;"",INDEX(Datos!C:C,MATCH(TH!E103,Datos!A:A,0)),"")</f>
        <v>OPERARIO BARRIDO VIAL</v>
      </c>
      <c r="D103" s="23" t="str">
        <f>IF(E103&lt;&gt;"",INDEX(Datos!B:B,MATCH(TH!E103,Datos!A:A,0)),"")</f>
        <v>ALEAN BALTAZAR JOSE LUIS</v>
      </c>
      <c r="E103">
        <v>1038128964</v>
      </c>
      <c r="F103" s="35" t="s">
        <v>15</v>
      </c>
      <c r="G103" s="36">
        <v>2026</v>
      </c>
      <c r="H103" s="37">
        <v>9</v>
      </c>
      <c r="I103" s="52" t="s">
        <v>969</v>
      </c>
      <c r="J103" s="52" t="s">
        <v>528</v>
      </c>
      <c r="K103" s="53">
        <v>46154</v>
      </c>
      <c r="L103" s="34" t="s">
        <v>7</v>
      </c>
      <c r="M103" s="38">
        <v>0.60416666666666663</v>
      </c>
      <c r="N103" s="46">
        <v>0.77083333333333337</v>
      </c>
      <c r="O103" s="38">
        <f>+N103-M103</f>
        <v>0.16666666666666674</v>
      </c>
      <c r="P103" s="38">
        <v>0.25</v>
      </c>
      <c r="Q103" s="38">
        <v>0.5</v>
      </c>
      <c r="R103" s="38">
        <v>1.3888888888888888E-2</v>
      </c>
      <c r="S103" s="38">
        <v>0.52083333333333337</v>
      </c>
      <c r="T103" s="46">
        <v>0.77083333333333337</v>
      </c>
      <c r="U103" s="38">
        <f t="shared" si="8"/>
        <v>0.4861111111111111</v>
      </c>
      <c r="V103" s="39"/>
      <c r="W103" s="39"/>
      <c r="X103" s="39"/>
      <c r="Y103" s="39">
        <v>0.16666666666666666</v>
      </c>
      <c r="Z103" s="39"/>
      <c r="AA103" s="39"/>
      <c r="AB103" s="39"/>
      <c r="AC103" s="40"/>
    </row>
    <row r="104" spans="1:29" ht="18" customHeight="1" x14ac:dyDescent="0.3">
      <c r="A104" s="45">
        <v>100</v>
      </c>
      <c r="B104" s="41" t="str">
        <f>IF(E104&lt;&gt;"",INDEX(Datos!D:D,MATCH(TH!E104,Datos!A:A,0)),"")</f>
        <v>CAUCASIA</v>
      </c>
      <c r="C104" s="41" t="str">
        <f>IF(E104&lt;&gt;"",INDEX(Datos!C:C,MATCH(TH!E104,Datos!A:A,0)),"")</f>
        <v>OPERARIO RECOLECCION Y B.V</v>
      </c>
      <c r="D104" s="23" t="str">
        <f>IF(E104&lt;&gt;"",INDEX(Datos!B:B,MATCH(TH!E104,Datos!A:A,0)),"")</f>
        <v>GUTIERREZ JULIO LIBARDO</v>
      </c>
      <c r="E104">
        <v>1032247358</v>
      </c>
      <c r="F104" s="35" t="s">
        <v>15</v>
      </c>
      <c r="G104" s="36">
        <v>2026</v>
      </c>
      <c r="H104" s="37">
        <v>9</v>
      </c>
      <c r="I104" s="52" t="s">
        <v>969</v>
      </c>
      <c r="J104" s="52" t="s">
        <v>528</v>
      </c>
      <c r="K104" s="53">
        <v>46154</v>
      </c>
      <c r="L104" s="34" t="s">
        <v>7</v>
      </c>
      <c r="M104" s="38">
        <v>0.60416666666666663</v>
      </c>
      <c r="N104" s="46">
        <v>0.77083333333333337</v>
      </c>
      <c r="O104" s="38">
        <f t="shared" si="7"/>
        <v>0.16666666666666674</v>
      </c>
      <c r="P104" s="38">
        <v>0.25</v>
      </c>
      <c r="Q104" s="38">
        <v>0.5</v>
      </c>
      <c r="R104" s="38">
        <v>1.3888888888888888E-2</v>
      </c>
      <c r="S104" s="38">
        <v>0.52083333333333337</v>
      </c>
      <c r="T104" s="46">
        <v>0.77083333333333337</v>
      </c>
      <c r="U104" s="38">
        <f t="shared" si="8"/>
        <v>0.4861111111111111</v>
      </c>
      <c r="V104" s="39"/>
      <c r="W104" s="39"/>
      <c r="X104" s="39"/>
      <c r="Y104" s="39">
        <v>0.16666666666666666</v>
      </c>
      <c r="Z104" s="39"/>
      <c r="AA104" s="39"/>
      <c r="AB104" s="39"/>
      <c r="AC104" s="40"/>
    </row>
    <row r="105" spans="1:29" ht="18" customHeight="1" x14ac:dyDescent="0.3">
      <c r="A105" s="44">
        <v>101</v>
      </c>
      <c r="B105" s="41" t="str">
        <f>IF(E105&lt;&gt;"",INDEX(Datos!D:D,MATCH(TH!E105,Datos!A:A,0)),"")</f>
        <v>CAUCASIA</v>
      </c>
      <c r="C105" s="41" t="str">
        <f>IF(E105&lt;&gt;"",INDEX(Datos!C:C,MATCH(TH!E105,Datos!A:A,0)),"")</f>
        <v>OPERARIO RECOLECCION Y B.V</v>
      </c>
      <c r="D105" s="23" t="str">
        <f>IF(E105&lt;&gt;"",INDEX(Datos!B:B,MATCH(TH!E105,Datos!A:A,0)),"")</f>
        <v>MOLINA OYOLA DEIMER ENRIQUE</v>
      </c>
      <c r="E105">
        <v>1038106412</v>
      </c>
      <c r="F105" s="35" t="s">
        <v>4</v>
      </c>
      <c r="G105" s="36">
        <v>2026</v>
      </c>
      <c r="H105" s="37">
        <v>9</v>
      </c>
      <c r="I105" s="52" t="s">
        <v>867</v>
      </c>
      <c r="J105" s="52" t="s">
        <v>528</v>
      </c>
      <c r="K105" s="53">
        <v>46154</v>
      </c>
      <c r="L105" s="34" t="s">
        <v>7</v>
      </c>
      <c r="M105" s="38">
        <v>0.20833333333333334</v>
      </c>
      <c r="N105" s="38">
        <v>0.25</v>
      </c>
      <c r="O105" s="38">
        <f t="shared" si="7"/>
        <v>4.1666666666666657E-2</v>
      </c>
      <c r="P105" s="38">
        <v>0.20833333333333334</v>
      </c>
      <c r="Q105" s="38">
        <v>0.5</v>
      </c>
      <c r="R105" s="38">
        <v>1.3888888888888888E-2</v>
      </c>
      <c r="S105" s="38">
        <v>0.52083333333333337</v>
      </c>
      <c r="T105" s="46">
        <v>0.72916666666666663</v>
      </c>
      <c r="U105" s="38">
        <f t="shared" si="8"/>
        <v>0.48611111111111099</v>
      </c>
      <c r="V105" s="39">
        <v>4.1666666666666664E-2</v>
      </c>
      <c r="W105" s="39"/>
      <c r="X105" s="39"/>
      <c r="Y105" s="39"/>
      <c r="Z105" s="39"/>
      <c r="AA105" s="39"/>
      <c r="AB105" s="39"/>
      <c r="AC105" s="40"/>
    </row>
    <row r="106" spans="1:29" ht="18" customHeight="1" x14ac:dyDescent="0.3">
      <c r="A106" s="44">
        <v>102</v>
      </c>
      <c r="B106" s="41" t="str">
        <f>IF(E106&lt;&gt;"",INDEX(Datos!D:D,MATCH(TH!E106,Datos!A:A,0)),"")</f>
        <v>CAUCASIA</v>
      </c>
      <c r="C106" s="41" t="str">
        <f>IF(E106&lt;&gt;"",INDEX(Datos!C:C,MATCH(TH!E106,Datos!A:A,0)),"")</f>
        <v>OPERARIO RECOLECCION Y B.V</v>
      </c>
      <c r="D106" s="23" t="str">
        <f>IF(E106&lt;&gt;"",INDEX(Datos!B:B,MATCH(TH!E106,Datos!A:A,0)),"")</f>
        <v>MOLINA OYOLA DEIMER ENRIQUE</v>
      </c>
      <c r="E106">
        <v>1038106412</v>
      </c>
      <c r="F106" s="35" t="s">
        <v>15</v>
      </c>
      <c r="G106" s="36">
        <v>2026</v>
      </c>
      <c r="H106" s="37">
        <v>9</v>
      </c>
      <c r="I106" s="52" t="s">
        <v>969</v>
      </c>
      <c r="J106" s="52" t="s">
        <v>528</v>
      </c>
      <c r="K106" s="53">
        <v>46154</v>
      </c>
      <c r="L106" s="34" t="s">
        <v>7</v>
      </c>
      <c r="M106" s="46">
        <v>0.5625</v>
      </c>
      <c r="N106" s="46">
        <v>0.72916666666666663</v>
      </c>
      <c r="O106" s="38">
        <f t="shared" si="7"/>
        <v>0.16666666666666663</v>
      </c>
      <c r="P106" s="38">
        <v>0.20833333333333334</v>
      </c>
      <c r="Q106" s="38">
        <v>0.5</v>
      </c>
      <c r="R106" s="38">
        <v>1.3888888888888888E-2</v>
      </c>
      <c r="S106" s="38">
        <v>0.52083333333333337</v>
      </c>
      <c r="T106" s="46">
        <v>0.72916666666666663</v>
      </c>
      <c r="U106" s="38">
        <f t="shared" si="8"/>
        <v>0.48611111111111099</v>
      </c>
      <c r="V106" s="39"/>
      <c r="W106" s="39"/>
      <c r="X106" s="39"/>
      <c r="Y106" s="39">
        <v>0.16666666666666666</v>
      </c>
      <c r="Z106" s="39"/>
      <c r="AA106" s="39"/>
      <c r="AB106" s="39"/>
      <c r="AC106" s="40"/>
    </row>
    <row r="107" spans="1:29" ht="18" customHeight="1" x14ac:dyDescent="0.3">
      <c r="A107" s="45">
        <v>103</v>
      </c>
      <c r="B107" s="41" t="str">
        <f>IF(E107&lt;&gt;"",INDEX(Datos!D:D,MATCH(TH!E107,Datos!A:A,0)),"")</f>
        <v>CAUCASIA</v>
      </c>
      <c r="C107" s="41" t="str">
        <f>IF(E107&lt;&gt;"",INDEX(Datos!C:C,MATCH(TH!E107,Datos!A:A,0)),"")</f>
        <v>OPERARIO RECOLECCION Y B.V</v>
      </c>
      <c r="D107" s="23" t="str">
        <f>IF(E107&lt;&gt;"",INDEX(Datos!B:B,MATCH(TH!E107,Datos!A:A,0)),"")</f>
        <v>ACOSTA ARIAS JOHAN FERNEY</v>
      </c>
      <c r="E107">
        <v>1038105785</v>
      </c>
      <c r="F107" s="35" t="s">
        <v>4</v>
      </c>
      <c r="G107" s="36">
        <v>2026</v>
      </c>
      <c r="H107" s="37">
        <v>9</v>
      </c>
      <c r="I107" s="52" t="s">
        <v>867</v>
      </c>
      <c r="J107" s="52" t="s">
        <v>528</v>
      </c>
      <c r="K107" s="53">
        <v>46154</v>
      </c>
      <c r="L107" s="34" t="s">
        <v>7</v>
      </c>
      <c r="M107" s="38">
        <v>0.20833333333333334</v>
      </c>
      <c r="N107" s="38">
        <v>0.25</v>
      </c>
      <c r="O107" s="38">
        <f>+N107-M107</f>
        <v>4.1666666666666657E-2</v>
      </c>
      <c r="P107" s="38">
        <v>0.20833333333333334</v>
      </c>
      <c r="Q107" s="38">
        <v>0.5</v>
      </c>
      <c r="R107" s="38">
        <v>1.3888888888888888E-2</v>
      </c>
      <c r="S107" s="38">
        <v>0.52083333333333337</v>
      </c>
      <c r="T107" s="46">
        <v>0.72916666666666663</v>
      </c>
      <c r="U107" s="38">
        <f>(Q107-P107)+(T107-S107)-R107</f>
        <v>0.48611111111111099</v>
      </c>
      <c r="V107" s="39">
        <v>4.1666666666666664E-2</v>
      </c>
      <c r="W107" s="39"/>
      <c r="X107" s="39"/>
      <c r="Y107" s="39"/>
      <c r="Z107" s="39"/>
      <c r="AA107" s="39"/>
      <c r="AB107" s="39"/>
      <c r="AC107" s="40"/>
    </row>
    <row r="108" spans="1:29" ht="18" customHeight="1" x14ac:dyDescent="0.3">
      <c r="A108" s="44">
        <v>104</v>
      </c>
      <c r="B108" s="41" t="str">
        <f>IF(E108&lt;&gt;"",INDEX(Datos!D:D,MATCH(TH!E108,Datos!A:A,0)),"")</f>
        <v>CAUCASIA</v>
      </c>
      <c r="C108" s="41" t="str">
        <f>IF(E108&lt;&gt;"",INDEX(Datos!C:C,MATCH(TH!E108,Datos!A:A,0)),"")</f>
        <v>OPERARIO RECOLECCION Y B.V</v>
      </c>
      <c r="D108" s="23" t="str">
        <f>IF(E108&lt;&gt;"",INDEX(Datos!B:B,MATCH(TH!E108,Datos!A:A,0)),"")</f>
        <v>ACOSTA ARIAS JOHAN FERNEY</v>
      </c>
      <c r="E108">
        <v>1038105785</v>
      </c>
      <c r="F108" s="35" t="s">
        <v>15</v>
      </c>
      <c r="G108" s="36">
        <v>2026</v>
      </c>
      <c r="H108" s="37">
        <v>9</v>
      </c>
      <c r="I108" s="52" t="s">
        <v>969</v>
      </c>
      <c r="J108" s="52" t="s">
        <v>528</v>
      </c>
      <c r="K108" s="53">
        <v>46154</v>
      </c>
      <c r="L108" s="34" t="s">
        <v>7</v>
      </c>
      <c r="M108" s="46">
        <v>0.5625</v>
      </c>
      <c r="N108" s="46">
        <v>0.72916666666666663</v>
      </c>
      <c r="O108" s="38">
        <f t="shared" si="7"/>
        <v>0.16666666666666663</v>
      </c>
      <c r="P108" s="38">
        <v>0.20833333333333334</v>
      </c>
      <c r="Q108" s="38">
        <v>0.5</v>
      </c>
      <c r="R108" s="38">
        <v>1.3888888888888888E-2</v>
      </c>
      <c r="S108" s="38">
        <v>0.52083333333333337</v>
      </c>
      <c r="T108" s="46">
        <v>0.72916666666666663</v>
      </c>
      <c r="U108" s="38">
        <f>(Q108-P108)+(T108-S108)-R108</f>
        <v>0.48611111111111099</v>
      </c>
      <c r="V108" s="39"/>
      <c r="W108" s="39"/>
      <c r="X108" s="39"/>
      <c r="Y108" s="39">
        <v>0.16666666666666666</v>
      </c>
      <c r="Z108" s="39"/>
      <c r="AA108" s="39"/>
      <c r="AB108" s="39"/>
      <c r="AC108" s="40"/>
    </row>
    <row r="109" spans="1:29" ht="18" customHeight="1" x14ac:dyDescent="0.3">
      <c r="A109" s="45">
        <v>105</v>
      </c>
      <c r="B109" s="41" t="str">
        <f>IF(E109&lt;&gt;"",INDEX(Datos!D:D,MATCH(TH!E109,Datos!A:A,0)),"")</f>
        <v>CAUCASIA</v>
      </c>
      <c r="C109" s="41" t="str">
        <f>IF(E109&lt;&gt;"",INDEX(Datos!C:C,MATCH(TH!E109,Datos!A:A,0)),"")</f>
        <v>OPERARIO RECOLECCION Y B.V</v>
      </c>
      <c r="D109" s="23" t="str">
        <f>IF(E109&lt;&gt;"",INDEX(Datos!B:B,MATCH(TH!E109,Datos!A:A,0)),"")</f>
        <v>OVIEDO CUADRADO JHON ORLANDO</v>
      </c>
      <c r="E109">
        <v>1038105029</v>
      </c>
      <c r="F109" s="35" t="s">
        <v>4</v>
      </c>
      <c r="G109" s="36">
        <v>2026</v>
      </c>
      <c r="H109" s="37">
        <v>9</v>
      </c>
      <c r="I109" s="52" t="s">
        <v>867</v>
      </c>
      <c r="J109" s="52" t="s">
        <v>528</v>
      </c>
      <c r="K109" s="53">
        <v>46154</v>
      </c>
      <c r="L109" s="34" t="s">
        <v>7</v>
      </c>
      <c r="M109" s="38">
        <v>0.20833333333333334</v>
      </c>
      <c r="N109" s="38">
        <v>0.25</v>
      </c>
      <c r="O109" s="38">
        <f t="shared" si="7"/>
        <v>4.1666666666666657E-2</v>
      </c>
      <c r="P109" s="38">
        <v>0.20833333333333334</v>
      </c>
      <c r="Q109" s="38">
        <v>0</v>
      </c>
      <c r="R109" s="38">
        <v>0</v>
      </c>
      <c r="S109" s="38">
        <v>0</v>
      </c>
      <c r="T109" s="46">
        <v>0.6875</v>
      </c>
      <c r="U109" s="38">
        <f t="shared" si="8"/>
        <v>0.47916666666666663</v>
      </c>
      <c r="V109" s="39">
        <v>4.1666666666666664E-2</v>
      </c>
      <c r="W109" s="39"/>
      <c r="X109" s="39"/>
      <c r="Y109" s="39"/>
      <c r="Z109" s="39"/>
      <c r="AA109" s="39"/>
      <c r="AB109" s="39"/>
      <c r="AC109" s="40"/>
    </row>
    <row r="110" spans="1:29" ht="18" customHeight="1" x14ac:dyDescent="0.3">
      <c r="A110" s="45">
        <v>106</v>
      </c>
      <c r="B110" s="41" t="str">
        <f>IF(E110&lt;&gt;"",INDEX(Datos!D:D,MATCH(TH!E110,Datos!A:A,0)),"")</f>
        <v>CAUCASIA</v>
      </c>
      <c r="C110" s="41" t="str">
        <f>IF(E110&lt;&gt;"",INDEX(Datos!C:C,MATCH(TH!E110,Datos!A:A,0)),"")</f>
        <v>OPERARIO RECOLECCION Y B.V</v>
      </c>
      <c r="D110" s="23" t="str">
        <f>IF(E110&lt;&gt;"",INDEX(Datos!B:B,MATCH(TH!E110,Datos!A:A,0)),"")</f>
        <v>OVIEDO CUADRADO JHON ORLANDO</v>
      </c>
      <c r="E110">
        <v>1038105029</v>
      </c>
      <c r="F110" s="35" t="s">
        <v>15</v>
      </c>
      <c r="G110" s="36">
        <v>2026</v>
      </c>
      <c r="H110" s="37">
        <v>9</v>
      </c>
      <c r="I110" s="52" t="s">
        <v>987</v>
      </c>
      <c r="J110" s="52" t="s">
        <v>528</v>
      </c>
      <c r="K110" s="53">
        <v>46154</v>
      </c>
      <c r="L110" s="34" t="s">
        <v>7</v>
      </c>
      <c r="M110" s="46">
        <v>0.5625</v>
      </c>
      <c r="N110" s="46">
        <v>0.6875</v>
      </c>
      <c r="O110" s="38">
        <f t="shared" si="7"/>
        <v>0.125</v>
      </c>
      <c r="P110" s="38">
        <v>0.20833333333333334</v>
      </c>
      <c r="Q110" s="38">
        <v>0</v>
      </c>
      <c r="R110" s="38">
        <v>0</v>
      </c>
      <c r="S110" s="38">
        <v>0</v>
      </c>
      <c r="T110" s="46">
        <v>0.6875</v>
      </c>
      <c r="U110" s="38">
        <f t="shared" si="8"/>
        <v>0.47916666666666663</v>
      </c>
      <c r="V110" s="39"/>
      <c r="W110" s="39"/>
      <c r="X110" s="39"/>
      <c r="Y110" s="39">
        <v>0.125</v>
      </c>
      <c r="Z110" s="39"/>
      <c r="AA110" s="39"/>
      <c r="AB110" s="39"/>
      <c r="AC110" s="40"/>
    </row>
    <row r="111" spans="1:29" ht="18" customHeight="1" x14ac:dyDescent="0.3">
      <c r="A111" s="44">
        <v>107</v>
      </c>
      <c r="B111" s="41" t="str">
        <f>IF(E111&lt;&gt;"",INDEX(Datos!D:D,MATCH(TH!E111,Datos!A:A,0)),"")</f>
        <v>CAUCASIA</v>
      </c>
      <c r="C111" s="41" t="str">
        <f>IF(E111&lt;&gt;"",INDEX(Datos!C:C,MATCH(TH!E111,Datos!A:A,0)),"")</f>
        <v>OPERARIO RECOLECCION Y B.V</v>
      </c>
      <c r="D111" s="23" t="str">
        <f>IF(E111&lt;&gt;"",INDEX(Datos!B:B,MATCH(TH!E111,Datos!A:A,0)),"")</f>
        <v>CERVANTES ORTIZ LUIS ALBERTO</v>
      </c>
      <c r="E111">
        <v>78303716</v>
      </c>
      <c r="F111" s="35" t="s">
        <v>15</v>
      </c>
      <c r="G111" s="36">
        <v>2026</v>
      </c>
      <c r="H111" s="37">
        <v>9</v>
      </c>
      <c r="I111" s="52" t="s">
        <v>868</v>
      </c>
      <c r="J111" s="52" t="s">
        <v>528</v>
      </c>
      <c r="K111" s="53">
        <v>46154</v>
      </c>
      <c r="L111" s="34" t="s">
        <v>7</v>
      </c>
      <c r="M111" s="38">
        <v>0.60416666666666663</v>
      </c>
      <c r="N111" s="46">
        <v>0.6875</v>
      </c>
      <c r="O111" s="38">
        <f t="shared" si="7"/>
        <v>8.333333333333337E-2</v>
      </c>
      <c r="P111" s="38">
        <v>0.25</v>
      </c>
      <c r="Q111" s="38">
        <v>0.5</v>
      </c>
      <c r="R111" s="38">
        <v>1.3888888888888888E-2</v>
      </c>
      <c r="S111" s="38">
        <v>0.52083333333333337</v>
      </c>
      <c r="T111" s="46">
        <v>0.6875</v>
      </c>
      <c r="U111" s="38">
        <f t="shared" si="8"/>
        <v>0.40277777777777773</v>
      </c>
      <c r="V111" s="39"/>
      <c r="W111" s="39"/>
      <c r="X111" s="39"/>
      <c r="Y111" s="39">
        <v>8.3333333333333329E-2</v>
      </c>
      <c r="Z111" s="39"/>
      <c r="AA111" s="39"/>
      <c r="AB111" s="39"/>
      <c r="AC111" s="40"/>
    </row>
    <row r="112" spans="1:29" ht="18" customHeight="1" x14ac:dyDescent="0.3">
      <c r="A112" s="44">
        <v>108</v>
      </c>
      <c r="B112" s="41" t="str">
        <f>IF(E112&lt;&gt;"",INDEX(Datos!D:D,MATCH(TH!E112,Datos!A:A,0)),"")</f>
        <v>CAUCASIA</v>
      </c>
      <c r="C112" s="41" t="str">
        <f>IF(E112&lt;&gt;"",INDEX(Datos!C:C,MATCH(TH!E112,Datos!A:A,0)),"")</f>
        <v>OPERARIO RECOLECCION Y B.V</v>
      </c>
      <c r="D112" s="23" t="str">
        <f>IF(E112&lt;&gt;"",INDEX(Datos!B:B,MATCH(TH!E112,Datos!A:A,0)),"")</f>
        <v>PEﾑA REGINO ALEJANDRO</v>
      </c>
      <c r="E112">
        <v>1038479551</v>
      </c>
      <c r="F112" s="35" t="s">
        <v>15</v>
      </c>
      <c r="G112" s="36">
        <v>2026</v>
      </c>
      <c r="H112" s="37">
        <v>9</v>
      </c>
      <c r="I112" s="52" t="s">
        <v>868</v>
      </c>
      <c r="J112" s="52" t="s">
        <v>528</v>
      </c>
      <c r="K112" s="53">
        <v>46154</v>
      </c>
      <c r="L112" s="34" t="s">
        <v>7</v>
      </c>
      <c r="M112" s="38">
        <v>0.60416666666666663</v>
      </c>
      <c r="N112" s="46">
        <v>0.6875</v>
      </c>
      <c r="O112" s="38">
        <f t="shared" si="7"/>
        <v>8.333333333333337E-2</v>
      </c>
      <c r="P112" s="38">
        <v>0.25</v>
      </c>
      <c r="Q112" s="38">
        <v>0.5</v>
      </c>
      <c r="R112" s="38">
        <v>1.3888888888888888E-2</v>
      </c>
      <c r="S112" s="38">
        <v>0.52083333333333337</v>
      </c>
      <c r="T112" s="46">
        <v>0.6875</v>
      </c>
      <c r="U112" s="38">
        <f t="shared" si="8"/>
        <v>0.40277777777777773</v>
      </c>
      <c r="V112" s="39"/>
      <c r="W112" s="39"/>
      <c r="X112" s="39"/>
      <c r="Y112" s="39">
        <v>8.3333333333333329E-2</v>
      </c>
      <c r="Z112" s="39"/>
      <c r="AA112" s="39"/>
      <c r="AB112" s="39"/>
      <c r="AC112" s="40"/>
    </row>
    <row r="113" spans="1:29" ht="18" customHeight="1" x14ac:dyDescent="0.3">
      <c r="A113" s="45">
        <v>109</v>
      </c>
      <c r="B113" s="41" t="str">
        <f>IF(E113&lt;&gt;"",INDEX(Datos!D:D,MATCH(TH!E113,Datos!A:A,0)),"")</f>
        <v>CAUCASIA</v>
      </c>
      <c r="C113" s="41" t="str">
        <f>IF(E113&lt;&gt;"",INDEX(Datos!C:C,MATCH(TH!E113,Datos!A:A,0)),"")</f>
        <v>CONDUCTOR</v>
      </c>
      <c r="D113" s="23" t="str">
        <f>IF(E113&lt;&gt;"",INDEX(Datos!B:B,MATCH(TH!E113,Datos!A:A,0)),"")</f>
        <v>RUZ GUTIERREZ JAIME</v>
      </c>
      <c r="E113">
        <v>1052960549</v>
      </c>
      <c r="F113" s="35" t="s">
        <v>15</v>
      </c>
      <c r="G113" s="36">
        <v>2026</v>
      </c>
      <c r="H113" s="37">
        <v>9</v>
      </c>
      <c r="I113" s="52" t="s">
        <v>969</v>
      </c>
      <c r="J113" s="52" t="s">
        <v>528</v>
      </c>
      <c r="K113" s="53">
        <v>46154</v>
      </c>
      <c r="L113" s="34" t="s">
        <v>7</v>
      </c>
      <c r="M113" s="38">
        <v>0.60416666666666663</v>
      </c>
      <c r="N113" s="46">
        <v>0.77083333333333337</v>
      </c>
      <c r="O113" s="38">
        <f t="shared" si="7"/>
        <v>0.16666666666666674</v>
      </c>
      <c r="P113" s="38">
        <v>0.25</v>
      </c>
      <c r="Q113" s="38">
        <v>0.5</v>
      </c>
      <c r="R113" s="38">
        <v>1.3888888888888888E-2</v>
      </c>
      <c r="S113" s="38">
        <v>0.52083333333333337</v>
      </c>
      <c r="T113" s="46">
        <v>0.77083333333333337</v>
      </c>
      <c r="U113" s="38">
        <f t="shared" si="8"/>
        <v>0.4861111111111111</v>
      </c>
      <c r="V113" s="39"/>
      <c r="W113" s="39"/>
      <c r="X113" s="39"/>
      <c r="Y113" s="39">
        <v>0.16666666666666666</v>
      </c>
      <c r="Z113" s="39"/>
      <c r="AA113" s="39"/>
      <c r="AB113" s="39"/>
      <c r="AC113" s="40"/>
    </row>
    <row r="114" spans="1:29" ht="18" customHeight="1" x14ac:dyDescent="0.3">
      <c r="A114" s="44">
        <v>110</v>
      </c>
      <c r="B114" s="41" t="str">
        <f>IF(E114&lt;&gt;"",INDEX(Datos!D:D,MATCH(TH!E114,Datos!A:A,0)),"")</f>
        <v>CAUCASIA</v>
      </c>
      <c r="C114" s="41" t="str">
        <f>IF(E114&lt;&gt;"",INDEX(Datos!C:C,MATCH(TH!E114,Datos!A:A,0)),"")</f>
        <v>CONDUCTOR</v>
      </c>
      <c r="D114" s="23" t="str">
        <f>IF(E114&lt;&gt;"",INDEX(Datos!B:B,MATCH(TH!E114,Datos!A:A,0)),"")</f>
        <v>MIELES LUNA JUAN CARLOS</v>
      </c>
      <c r="E114">
        <v>78302596</v>
      </c>
      <c r="F114" s="35" t="s">
        <v>15</v>
      </c>
      <c r="G114" s="36">
        <v>2026</v>
      </c>
      <c r="H114" s="37">
        <v>9</v>
      </c>
      <c r="I114" s="52" t="s">
        <v>969</v>
      </c>
      <c r="J114" s="52" t="s">
        <v>528</v>
      </c>
      <c r="K114" s="53">
        <v>46154</v>
      </c>
      <c r="L114" s="34" t="s">
        <v>7</v>
      </c>
      <c r="M114" s="38">
        <v>0.60416666666666663</v>
      </c>
      <c r="N114" s="46">
        <v>0.77083333333333337</v>
      </c>
      <c r="O114" s="38">
        <f t="shared" si="7"/>
        <v>0.16666666666666674</v>
      </c>
      <c r="P114" s="38">
        <v>0.25</v>
      </c>
      <c r="Q114" s="38">
        <v>0.5</v>
      </c>
      <c r="R114" s="38">
        <v>1.3888888888888888E-2</v>
      </c>
      <c r="S114" s="38">
        <v>0.52083333333333337</v>
      </c>
      <c r="T114" s="46">
        <v>0.77083333333333337</v>
      </c>
      <c r="U114" s="38">
        <f t="shared" si="8"/>
        <v>0.4861111111111111</v>
      </c>
      <c r="V114" s="39"/>
      <c r="W114" s="39"/>
      <c r="X114" s="39"/>
      <c r="Y114" s="39">
        <v>0.16666666666666666</v>
      </c>
      <c r="Z114" s="39"/>
      <c r="AA114" s="39"/>
      <c r="AB114" s="39"/>
      <c r="AC114" s="40"/>
    </row>
    <row r="115" spans="1:29" ht="18" customHeight="1" x14ac:dyDescent="0.3">
      <c r="A115" s="45">
        <v>111</v>
      </c>
      <c r="B115" s="41" t="str">
        <f>IF(E115&lt;&gt;"",INDEX(Datos!D:D,MATCH(TH!E115,Datos!A:A,0)),"")</f>
        <v>CAUCASIA</v>
      </c>
      <c r="C115" s="41" t="str">
        <f>IF(E115&lt;&gt;"",INDEX(Datos!C:C,MATCH(TH!E115,Datos!A:A,0)),"")</f>
        <v xml:space="preserve">CONDUCTOR </v>
      </c>
      <c r="D115" s="23" t="str">
        <f>IF(E115&lt;&gt;"",INDEX(Datos!B:B,MATCH(TH!E115,Datos!A:A,0)),"")</f>
        <v>HOYOS SIERRA BRYAM</v>
      </c>
      <c r="E115">
        <v>1038135724</v>
      </c>
      <c r="F115" s="35" t="s">
        <v>4</v>
      </c>
      <c r="G115" s="36">
        <v>2026</v>
      </c>
      <c r="H115" s="37">
        <v>9</v>
      </c>
      <c r="I115" s="52" t="s">
        <v>867</v>
      </c>
      <c r="J115" s="52" t="s">
        <v>528</v>
      </c>
      <c r="K115" s="53">
        <v>46154</v>
      </c>
      <c r="L115" s="34" t="s">
        <v>7</v>
      </c>
      <c r="M115" s="38">
        <v>0.20833333333333334</v>
      </c>
      <c r="N115" s="38">
        <v>0.25</v>
      </c>
      <c r="O115" s="38">
        <f t="shared" si="7"/>
        <v>4.1666666666666657E-2</v>
      </c>
      <c r="P115" s="38">
        <v>0.20833333333333334</v>
      </c>
      <c r="Q115" s="38">
        <v>0.5</v>
      </c>
      <c r="R115" s="38">
        <v>1.3888888888888888E-2</v>
      </c>
      <c r="S115" s="38">
        <v>0.52083333333333337</v>
      </c>
      <c r="T115" s="46">
        <v>0.72916666666666663</v>
      </c>
      <c r="U115" s="38">
        <f t="shared" si="8"/>
        <v>0.48611111111111099</v>
      </c>
      <c r="V115" s="39">
        <v>4.1666666666666664E-2</v>
      </c>
      <c r="W115" s="39"/>
      <c r="X115" s="39"/>
      <c r="Y115" s="39"/>
      <c r="Z115" s="39"/>
      <c r="AA115" s="39"/>
      <c r="AB115" s="39"/>
      <c r="AC115" s="40"/>
    </row>
    <row r="116" spans="1:29" ht="18" customHeight="1" x14ac:dyDescent="0.3">
      <c r="A116" s="45">
        <v>112</v>
      </c>
      <c r="B116" s="41" t="str">
        <f>IF(E116&lt;&gt;"",INDEX(Datos!D:D,MATCH(TH!E116,Datos!A:A,0)),"")</f>
        <v>CAUCASIA</v>
      </c>
      <c r="C116" s="41" t="str">
        <f>IF(E116&lt;&gt;"",INDEX(Datos!C:C,MATCH(TH!E116,Datos!A:A,0)),"")</f>
        <v xml:space="preserve">CONDUCTOR </v>
      </c>
      <c r="D116" s="23" t="str">
        <f>IF(E116&lt;&gt;"",INDEX(Datos!B:B,MATCH(TH!E116,Datos!A:A,0)),"")</f>
        <v>HOYOS SIERRA BRYAM</v>
      </c>
      <c r="E116">
        <v>1038135724</v>
      </c>
      <c r="F116" s="35" t="s">
        <v>15</v>
      </c>
      <c r="G116" s="36">
        <v>2026</v>
      </c>
      <c r="H116" s="37">
        <v>9</v>
      </c>
      <c r="I116" s="52" t="s">
        <v>969</v>
      </c>
      <c r="J116" s="52" t="s">
        <v>528</v>
      </c>
      <c r="K116" s="53">
        <v>46154</v>
      </c>
      <c r="L116" s="34" t="s">
        <v>7</v>
      </c>
      <c r="M116" s="46">
        <v>0.5625</v>
      </c>
      <c r="N116" s="46">
        <v>0.72916666666666663</v>
      </c>
      <c r="O116" s="38">
        <f t="shared" si="7"/>
        <v>0.16666666666666663</v>
      </c>
      <c r="P116" s="38">
        <v>0.20833333333333334</v>
      </c>
      <c r="Q116" s="38">
        <v>0.5</v>
      </c>
      <c r="R116" s="38">
        <v>1.3888888888888888E-2</v>
      </c>
      <c r="S116" s="38">
        <v>0.52083333333333337</v>
      </c>
      <c r="T116" s="46">
        <v>0.72916666666666663</v>
      </c>
      <c r="U116" s="38">
        <f t="shared" si="8"/>
        <v>0.48611111111111099</v>
      </c>
      <c r="V116" s="39"/>
      <c r="W116" s="39"/>
      <c r="X116" s="39"/>
      <c r="Y116" s="39">
        <v>0.16666666666666666</v>
      </c>
      <c r="Z116" s="39"/>
      <c r="AA116" s="39"/>
      <c r="AB116" s="39"/>
      <c r="AC116" s="40"/>
    </row>
    <row r="117" spans="1:29" ht="18" customHeight="1" x14ac:dyDescent="0.3">
      <c r="A117" s="44">
        <v>113</v>
      </c>
      <c r="B117" s="41" t="str">
        <f>IF(E117&lt;&gt;"",INDEX(Datos!D:D,MATCH(TH!E117,Datos!A:A,0)),"")</f>
        <v>CAUCASIA</v>
      </c>
      <c r="C117" s="41" t="str">
        <f>IF(E117&lt;&gt;"",INDEX(Datos!C:C,MATCH(TH!E117,Datos!A:A,0)),"")</f>
        <v>CONDUCTOR</v>
      </c>
      <c r="D117" s="23" t="str">
        <f>IF(E117&lt;&gt;"",INDEX(Datos!B:B,MATCH(TH!E117,Datos!A:A,0)),"")</f>
        <v>SIERRA SUAREZ NEVER DE JESUS</v>
      </c>
      <c r="E117">
        <v>78294567</v>
      </c>
      <c r="F117" s="35" t="s">
        <v>4</v>
      </c>
      <c r="G117" s="36">
        <v>2026</v>
      </c>
      <c r="H117" s="37">
        <v>9</v>
      </c>
      <c r="I117" s="52" t="s">
        <v>867</v>
      </c>
      <c r="J117" s="52" t="s">
        <v>528</v>
      </c>
      <c r="K117" s="53">
        <v>46154</v>
      </c>
      <c r="L117" s="34" t="s">
        <v>7</v>
      </c>
      <c r="M117" s="38">
        <v>0.20833333333333334</v>
      </c>
      <c r="N117" s="38">
        <v>0.25</v>
      </c>
      <c r="O117" s="38">
        <f t="shared" si="7"/>
        <v>4.1666666666666657E-2</v>
      </c>
      <c r="P117" s="38">
        <v>0.20833333333333334</v>
      </c>
      <c r="Q117" s="38">
        <v>0.5</v>
      </c>
      <c r="R117" s="38">
        <v>1.3888888888888888E-2</v>
      </c>
      <c r="S117" s="38">
        <v>0.52083333333333337</v>
      </c>
      <c r="T117" s="46">
        <v>0.72916666666666663</v>
      </c>
      <c r="U117" s="38">
        <f t="shared" si="8"/>
        <v>0.48611111111111099</v>
      </c>
      <c r="V117" s="39">
        <v>4.1666666666666664E-2</v>
      </c>
      <c r="W117" s="39"/>
      <c r="X117" s="39"/>
      <c r="Y117" s="39"/>
      <c r="Z117" s="39"/>
      <c r="AA117" s="39"/>
      <c r="AB117" s="39"/>
      <c r="AC117" s="40"/>
    </row>
    <row r="118" spans="1:29" ht="18" customHeight="1" x14ac:dyDescent="0.3">
      <c r="A118" s="44">
        <v>114</v>
      </c>
      <c r="B118" s="41" t="str">
        <f>IF(E118&lt;&gt;"",INDEX(Datos!D:D,MATCH(TH!E118,Datos!A:A,0)),"")</f>
        <v>CAUCASIA</v>
      </c>
      <c r="C118" s="41" t="str">
        <f>IF(E118&lt;&gt;"",INDEX(Datos!C:C,MATCH(TH!E118,Datos!A:A,0)),"")</f>
        <v>CONDUCTOR</v>
      </c>
      <c r="D118" s="23" t="str">
        <f>IF(E118&lt;&gt;"",INDEX(Datos!B:B,MATCH(TH!E118,Datos!A:A,0)),"")</f>
        <v>SIERRA SUAREZ NEVER DE JESUS</v>
      </c>
      <c r="E118">
        <v>78294567</v>
      </c>
      <c r="F118" s="35" t="s">
        <v>15</v>
      </c>
      <c r="G118" s="36">
        <v>2026</v>
      </c>
      <c r="H118" s="37">
        <v>9</v>
      </c>
      <c r="I118" s="52" t="s">
        <v>969</v>
      </c>
      <c r="J118" s="52" t="s">
        <v>528</v>
      </c>
      <c r="K118" s="53">
        <v>46154</v>
      </c>
      <c r="L118" s="34" t="s">
        <v>7</v>
      </c>
      <c r="M118" s="46">
        <v>0.5625</v>
      </c>
      <c r="N118" s="46">
        <v>0.72916666666666663</v>
      </c>
      <c r="O118" s="38">
        <f t="shared" si="7"/>
        <v>0.16666666666666663</v>
      </c>
      <c r="P118" s="38">
        <v>0.20833333333333334</v>
      </c>
      <c r="Q118" s="38">
        <v>0.5</v>
      </c>
      <c r="R118" s="38">
        <v>1.3888888888888888E-2</v>
      </c>
      <c r="S118" s="38">
        <v>0.52083333333333337</v>
      </c>
      <c r="T118" s="46">
        <v>0.72916666666666663</v>
      </c>
      <c r="U118" s="38">
        <f t="shared" si="8"/>
        <v>0.48611111111111099</v>
      </c>
      <c r="V118" s="39"/>
      <c r="W118" s="39"/>
      <c r="X118" s="39"/>
      <c r="Y118" s="39">
        <v>0.16666666666666666</v>
      </c>
      <c r="Z118" s="39"/>
      <c r="AA118" s="39"/>
      <c r="AB118" s="39"/>
      <c r="AC118" s="40"/>
    </row>
    <row r="119" spans="1:29" ht="18" customHeight="1" x14ac:dyDescent="0.3">
      <c r="A119" s="45">
        <v>115</v>
      </c>
      <c r="B119" s="41" t="str">
        <f>IF(E119&lt;&gt;"",INDEX(Datos!D:D,MATCH(TH!E119,Datos!A:A,0)),"")</f>
        <v>CAUCASIA</v>
      </c>
      <c r="C119" s="41" t="str">
        <f>IF(E119&lt;&gt;"",INDEX(Datos!C:C,MATCH(TH!E119,Datos!A:A,0)),"")</f>
        <v>OPERARIO BARRIDO VIAL</v>
      </c>
      <c r="D119" s="23" t="str">
        <f>IF(E119&lt;&gt;"",INDEX(Datos!B:B,MATCH(TH!E119,Datos!A:A,0)),"")</f>
        <v>FUERTES JIMENEZ JOHN BAIRON</v>
      </c>
      <c r="E119">
        <v>1040491322</v>
      </c>
      <c r="F119" s="35" t="s">
        <v>15</v>
      </c>
      <c r="G119" s="36">
        <v>2026</v>
      </c>
      <c r="H119" s="37">
        <v>9</v>
      </c>
      <c r="I119" s="52" t="s">
        <v>868</v>
      </c>
      <c r="J119" s="52" t="s">
        <v>528</v>
      </c>
      <c r="K119" s="53">
        <v>46154</v>
      </c>
      <c r="L119" s="34" t="s">
        <v>7</v>
      </c>
      <c r="M119" s="38">
        <v>0.60416666666666663</v>
      </c>
      <c r="N119" s="38">
        <v>0.6875</v>
      </c>
      <c r="O119" s="38">
        <f t="shared" si="7"/>
        <v>8.333333333333337E-2</v>
      </c>
      <c r="P119" s="38">
        <v>0.25</v>
      </c>
      <c r="Q119" s="38">
        <v>0.5</v>
      </c>
      <c r="R119" s="38">
        <v>1.3888888888888888E-2</v>
      </c>
      <c r="S119" s="38">
        <v>0.52083333333333337</v>
      </c>
      <c r="T119" s="38">
        <v>0.6875</v>
      </c>
      <c r="U119" s="38">
        <f t="shared" si="8"/>
        <v>0.40277777777777773</v>
      </c>
      <c r="V119" s="39"/>
      <c r="W119" s="39"/>
      <c r="X119" s="39"/>
      <c r="Y119" s="39">
        <v>8.3333333333333329E-2</v>
      </c>
      <c r="Z119" s="39"/>
      <c r="AA119" s="39"/>
      <c r="AB119" s="39"/>
      <c r="AC119" s="40"/>
    </row>
    <row r="120" spans="1:29" ht="18" customHeight="1" x14ac:dyDescent="0.3">
      <c r="A120" s="44">
        <v>116</v>
      </c>
      <c r="B120" s="41" t="str">
        <f>IF(E120&lt;&gt;"",INDEX(Datos!D:D,MATCH(TH!E120,Datos!A:A,0)),"")</f>
        <v>CAUCASIA</v>
      </c>
      <c r="C120" s="41" t="str">
        <f>IF(E120&lt;&gt;"",INDEX(Datos!C:C,MATCH(TH!E120,Datos!A:A,0)),"")</f>
        <v>OPERARIO RECOLECCION Y B.V</v>
      </c>
      <c r="D120" s="23" t="str">
        <f>IF(E120&lt;&gt;"",INDEX(Datos!B:B,MATCH(TH!E120,Datos!A:A,0)),"")</f>
        <v>LARGO TIRADO YEISON FERNANDO</v>
      </c>
      <c r="E120">
        <v>1038101705</v>
      </c>
      <c r="F120" s="35" t="s">
        <v>15</v>
      </c>
      <c r="G120" s="36">
        <v>2026</v>
      </c>
      <c r="H120" s="37">
        <v>9</v>
      </c>
      <c r="I120" s="52" t="s">
        <v>991</v>
      </c>
      <c r="J120" s="52" t="s">
        <v>528</v>
      </c>
      <c r="K120" s="53">
        <v>46154</v>
      </c>
      <c r="L120" s="34" t="s">
        <v>7</v>
      </c>
      <c r="M120" s="38">
        <v>0.60416666666666663</v>
      </c>
      <c r="N120" s="38">
        <v>0.70833333333333337</v>
      </c>
      <c r="O120" s="38">
        <f t="shared" si="7"/>
        <v>0.10416666666666674</v>
      </c>
      <c r="P120" s="38">
        <v>0.25</v>
      </c>
      <c r="Q120" s="38">
        <v>0.5</v>
      </c>
      <c r="R120" s="38">
        <v>1.3888888888888888E-2</v>
      </c>
      <c r="S120" s="38">
        <v>0.52083333333333337</v>
      </c>
      <c r="T120" s="38">
        <v>0.70833333333333337</v>
      </c>
      <c r="U120" s="38">
        <f t="shared" si="8"/>
        <v>0.4236111111111111</v>
      </c>
      <c r="V120" s="39"/>
      <c r="W120" s="39"/>
      <c r="X120" s="39"/>
      <c r="Y120" s="39">
        <v>0.10416666666666667</v>
      </c>
      <c r="Z120" s="39"/>
      <c r="AA120" s="39"/>
      <c r="AB120" s="39"/>
      <c r="AC120" s="40"/>
    </row>
    <row r="121" spans="1:29" ht="18" customHeight="1" x14ac:dyDescent="0.3">
      <c r="A121" s="45">
        <v>117</v>
      </c>
      <c r="B121" s="41" t="str">
        <f>IF(E121&lt;&gt;"",INDEX(Datos!D:D,MATCH(TH!E121,Datos!A:A,0)),"")</f>
        <v>CAUCASIA</v>
      </c>
      <c r="C121" s="41" t="str">
        <f>IF(E121&lt;&gt;"",INDEX(Datos!C:C,MATCH(TH!E121,Datos!A:A,0)),"")</f>
        <v>OPERARIO DE BARRIDO VIAL</v>
      </c>
      <c r="D121" s="23" t="str">
        <f>IF(E121&lt;&gt;"",INDEX(Datos!B:B,MATCH(TH!E121,Datos!A:A,0)),"")</f>
        <v>GOMEZ MARTINEZ JUAN SEBASTIAN</v>
      </c>
      <c r="E121">
        <v>1038136097</v>
      </c>
      <c r="F121" s="35" t="s">
        <v>15</v>
      </c>
      <c r="G121" s="36">
        <v>2026</v>
      </c>
      <c r="H121" s="37">
        <v>9</v>
      </c>
      <c r="I121" s="52" t="s">
        <v>987</v>
      </c>
      <c r="J121" s="52" t="s">
        <v>528</v>
      </c>
      <c r="K121" s="53">
        <v>46154</v>
      </c>
      <c r="L121" s="34" t="s">
        <v>7</v>
      </c>
      <c r="M121" s="38">
        <v>0.60416666666666663</v>
      </c>
      <c r="N121" s="46">
        <v>0.72916666666666663</v>
      </c>
      <c r="O121" s="38">
        <f t="shared" si="7"/>
        <v>0.125</v>
      </c>
      <c r="P121" s="38">
        <v>0.25</v>
      </c>
      <c r="Q121" s="38">
        <v>0.5</v>
      </c>
      <c r="R121" s="38">
        <v>1.3888888888888888E-2</v>
      </c>
      <c r="S121" s="38">
        <v>0.52083333333333337</v>
      </c>
      <c r="T121" s="46">
        <v>0.72916666666666663</v>
      </c>
      <c r="U121" s="38">
        <f t="shared" si="8"/>
        <v>0.44444444444444436</v>
      </c>
      <c r="V121" s="39"/>
      <c r="W121" s="39"/>
      <c r="X121" s="39"/>
      <c r="Y121" s="39">
        <v>0.125</v>
      </c>
      <c r="Z121" s="39"/>
      <c r="AA121" s="39"/>
      <c r="AB121" s="39"/>
      <c r="AC121" s="40"/>
    </row>
    <row r="122" spans="1:29" ht="18" customHeight="1" x14ac:dyDescent="0.3">
      <c r="A122" s="45">
        <v>118</v>
      </c>
      <c r="B122" s="41" t="str">
        <f>IF(E122&lt;&gt;"",INDEX(Datos!D:D,MATCH(TH!E122,Datos!A:A,0)),"")</f>
        <v>CAUCASIA</v>
      </c>
      <c r="C122" s="41" t="str">
        <f>IF(E122&lt;&gt;"",INDEX(Datos!C:C,MATCH(TH!E122,Datos!A:A,0)),"")</f>
        <v>OPERARIO RECOLECCION Y B.V</v>
      </c>
      <c r="D122" s="23" t="str">
        <f>IF(E122&lt;&gt;"",INDEX(Datos!B:B,MATCH(TH!E122,Datos!A:A,0)),"")</f>
        <v>ARCE MARQUEZ HERNAN ENRIQUE</v>
      </c>
      <c r="E122">
        <v>98614587</v>
      </c>
      <c r="F122" s="35" t="s">
        <v>4</v>
      </c>
      <c r="G122" s="36">
        <v>2026</v>
      </c>
      <c r="H122" s="37">
        <v>9</v>
      </c>
      <c r="I122" s="52" t="s">
        <v>868</v>
      </c>
      <c r="J122" s="52" t="s">
        <v>528</v>
      </c>
      <c r="K122" s="53">
        <v>46154</v>
      </c>
      <c r="L122" s="34" t="s">
        <v>7</v>
      </c>
      <c r="M122" s="38">
        <v>0.91666666666666663</v>
      </c>
      <c r="N122" s="46">
        <v>0.99930555555555556</v>
      </c>
      <c r="O122" s="38">
        <f t="shared" si="7"/>
        <v>8.2638888888888928E-2</v>
      </c>
      <c r="P122" s="38">
        <v>46154.916666666664</v>
      </c>
      <c r="Q122" s="38">
        <v>0</v>
      </c>
      <c r="R122" s="38">
        <v>0</v>
      </c>
      <c r="S122" s="38">
        <v>0</v>
      </c>
      <c r="T122" s="46">
        <v>46155.25</v>
      </c>
      <c r="U122" s="38">
        <f t="shared" si="8"/>
        <v>0.33333333333575865</v>
      </c>
      <c r="V122" s="39">
        <v>8.3333333333333329E-2</v>
      </c>
      <c r="W122" s="39"/>
      <c r="X122" s="39"/>
      <c r="Y122" s="39"/>
      <c r="Z122" s="39"/>
      <c r="AA122" s="39"/>
      <c r="AB122" s="39"/>
      <c r="AC122" s="40"/>
    </row>
    <row r="123" spans="1:29" ht="18" customHeight="1" x14ac:dyDescent="0.3">
      <c r="A123" s="44">
        <v>119</v>
      </c>
      <c r="B123" s="41" t="str">
        <f>IF(E123&lt;&gt;"",INDEX(Datos!D:D,MATCH(TH!E123,Datos!A:A,0)),"")</f>
        <v>CAUCASIA</v>
      </c>
      <c r="C123" s="41" t="str">
        <f>IF(E123&lt;&gt;"",INDEX(Datos!C:C,MATCH(TH!E123,Datos!A:A,0)),"")</f>
        <v>OPERARIO RECOLECCION Y B.V</v>
      </c>
      <c r="D123" s="23" t="str">
        <f>IF(E123&lt;&gt;"",INDEX(Datos!B:B,MATCH(TH!E123,Datos!A:A,0)),"")</f>
        <v>ARCE MARQUEZ HERNAN ENRIQUE</v>
      </c>
      <c r="E123">
        <v>98614587</v>
      </c>
      <c r="F123" s="35" t="s">
        <v>4</v>
      </c>
      <c r="G123" s="36">
        <v>2026</v>
      </c>
      <c r="H123" s="37">
        <v>9</v>
      </c>
      <c r="I123" s="52" t="s">
        <v>992</v>
      </c>
      <c r="J123" s="52" t="s">
        <v>528</v>
      </c>
      <c r="K123" s="53">
        <v>46155</v>
      </c>
      <c r="L123" s="34" t="s">
        <v>7</v>
      </c>
      <c r="M123" s="38">
        <v>0</v>
      </c>
      <c r="N123" s="46">
        <v>0.25</v>
      </c>
      <c r="O123" s="38">
        <f t="shared" si="7"/>
        <v>0.25</v>
      </c>
      <c r="P123" s="38">
        <v>46154.916666666664</v>
      </c>
      <c r="Q123" s="38">
        <v>0</v>
      </c>
      <c r="R123" s="38">
        <v>0</v>
      </c>
      <c r="S123" s="38">
        <v>0</v>
      </c>
      <c r="T123" s="46">
        <v>46155.25</v>
      </c>
      <c r="U123" s="38">
        <f t="shared" si="8"/>
        <v>0.33333333333575865</v>
      </c>
      <c r="V123" s="39">
        <v>0.25</v>
      </c>
      <c r="W123" s="39"/>
      <c r="X123" s="39"/>
      <c r="Y123" s="39"/>
      <c r="Z123" s="39"/>
      <c r="AA123" s="39"/>
      <c r="AB123" s="39"/>
      <c r="AC123" s="40"/>
    </row>
    <row r="124" spans="1:29" ht="18" customHeight="1" x14ac:dyDescent="0.3">
      <c r="A124" s="44">
        <v>120</v>
      </c>
      <c r="B124" s="41" t="str">
        <f>IF(E124&lt;&gt;"",INDEX(Datos!D:D,MATCH(TH!E124,Datos!A:A,0)),"")</f>
        <v>CAUCASIA</v>
      </c>
      <c r="C124" s="41" t="str">
        <f>IF(E124&lt;&gt;"",INDEX(Datos!C:C,MATCH(TH!E124,Datos!A:A,0)),"")</f>
        <v>OPERARIO RECOLECCION Y B.V</v>
      </c>
      <c r="D124" s="23" t="str">
        <f>IF(E124&lt;&gt;"",INDEX(Datos!B:B,MATCH(TH!E124,Datos!A:A,0)),"")</f>
        <v>GUEVARA CUADRADO CARMELO ELIECER</v>
      </c>
      <c r="E124">
        <v>78023556</v>
      </c>
      <c r="F124" s="35" t="s">
        <v>4</v>
      </c>
      <c r="G124" s="36">
        <v>2026</v>
      </c>
      <c r="H124" s="37">
        <v>9</v>
      </c>
      <c r="I124" s="52" t="s">
        <v>987</v>
      </c>
      <c r="J124" s="52" t="s">
        <v>528</v>
      </c>
      <c r="K124" s="53">
        <v>46154</v>
      </c>
      <c r="L124" s="34" t="s">
        <v>7</v>
      </c>
      <c r="M124" s="38">
        <v>0.79166666666666663</v>
      </c>
      <c r="N124" s="46">
        <v>0.91666666666666663</v>
      </c>
      <c r="O124" s="38">
        <f t="shared" si="7"/>
        <v>0.125</v>
      </c>
      <c r="P124" s="38">
        <v>0.58333333333333337</v>
      </c>
      <c r="Q124" s="38">
        <v>0</v>
      </c>
      <c r="R124" s="38">
        <v>0</v>
      </c>
      <c r="S124" s="38">
        <v>0</v>
      </c>
      <c r="T124" s="46">
        <v>0.91666666666666663</v>
      </c>
      <c r="U124" s="38">
        <f t="shared" si="8"/>
        <v>0.33333333333333326</v>
      </c>
      <c r="V124" s="39">
        <v>0.125</v>
      </c>
      <c r="W124" s="39"/>
      <c r="X124" s="39"/>
      <c r="Y124" s="39"/>
      <c r="Z124" s="39"/>
      <c r="AA124" s="39"/>
      <c r="AB124" s="39"/>
      <c r="AC124" s="40"/>
    </row>
    <row r="125" spans="1:29" ht="18" customHeight="1" x14ac:dyDescent="0.3">
      <c r="A125" s="45">
        <v>121</v>
      </c>
      <c r="B125" s="41" t="str">
        <f>IF(E125&lt;&gt;"",INDEX(Datos!D:D,MATCH(TH!E125,Datos!A:A,0)),"")</f>
        <v>CAUCASIA</v>
      </c>
      <c r="C125" s="41" t="str">
        <f>IF(E125&lt;&gt;"",INDEX(Datos!C:C,MATCH(TH!E125,Datos!A:A,0)),"")</f>
        <v>CONDUCTOR</v>
      </c>
      <c r="D125" s="23" t="str">
        <f>IF(E125&lt;&gt;"",INDEX(Datos!B:B,MATCH(TH!E125,Datos!A:A,0)),"")</f>
        <v>HERNANDEZ BERTEL JESUALDO</v>
      </c>
      <c r="E125">
        <v>8057310</v>
      </c>
      <c r="F125" s="35" t="s">
        <v>4</v>
      </c>
      <c r="G125" s="36">
        <v>2026</v>
      </c>
      <c r="H125" s="37">
        <v>9</v>
      </c>
      <c r="I125" s="52" t="s">
        <v>1003</v>
      </c>
      <c r="J125" s="52" t="s">
        <v>528</v>
      </c>
      <c r="K125" s="53">
        <v>46154</v>
      </c>
      <c r="L125" s="34" t="s">
        <v>7</v>
      </c>
      <c r="M125" s="38">
        <v>0.22916666666666666</v>
      </c>
      <c r="N125" s="38">
        <v>0.25</v>
      </c>
      <c r="O125" s="38">
        <f t="shared" si="7"/>
        <v>2.0833333333333343E-2</v>
      </c>
      <c r="P125" s="38">
        <v>0.22916666666666666</v>
      </c>
      <c r="Q125" s="38">
        <v>0.5</v>
      </c>
      <c r="R125" s="38">
        <v>1.3888888888888888E-2</v>
      </c>
      <c r="S125" s="38">
        <v>0.52083333333333337</v>
      </c>
      <c r="T125" s="46">
        <v>0.79166666666666663</v>
      </c>
      <c r="U125" s="38">
        <f t="shared" si="8"/>
        <v>0.52777777777777779</v>
      </c>
      <c r="V125" s="39">
        <v>2.0833333333333332E-2</v>
      </c>
      <c r="W125" s="39"/>
      <c r="X125" s="39"/>
      <c r="Y125" s="39"/>
      <c r="Z125" s="39"/>
      <c r="AA125" s="39"/>
      <c r="AB125" s="39"/>
      <c r="AC125" s="40"/>
    </row>
    <row r="126" spans="1:29" ht="18" customHeight="1" x14ac:dyDescent="0.3">
      <c r="A126" s="44">
        <v>122</v>
      </c>
      <c r="B126" s="41" t="str">
        <f>IF(E126&lt;&gt;"",INDEX(Datos!D:D,MATCH(TH!E126,Datos!A:A,0)),"")</f>
        <v>CAUCASIA</v>
      </c>
      <c r="C126" s="41" t="str">
        <f>IF(E126&lt;&gt;"",INDEX(Datos!C:C,MATCH(TH!E126,Datos!A:A,0)),"")</f>
        <v>CONDUCTOR</v>
      </c>
      <c r="D126" s="23" t="str">
        <f>IF(E126&lt;&gt;"",INDEX(Datos!B:B,MATCH(TH!E126,Datos!A:A,0)),"")</f>
        <v>HERNANDEZ BERTEL JESUALDO</v>
      </c>
      <c r="E126">
        <v>8057310</v>
      </c>
      <c r="F126" s="35" t="s">
        <v>15</v>
      </c>
      <c r="G126" s="36">
        <v>2026</v>
      </c>
      <c r="H126" s="37">
        <v>9</v>
      </c>
      <c r="I126" s="52" t="s">
        <v>917</v>
      </c>
      <c r="J126" s="52" t="s">
        <v>528</v>
      </c>
      <c r="K126" s="53">
        <v>46154</v>
      </c>
      <c r="L126" s="34" t="s">
        <v>7</v>
      </c>
      <c r="M126" s="38">
        <v>0.58333333333333337</v>
      </c>
      <c r="N126" s="46">
        <v>0.79166666666666663</v>
      </c>
      <c r="O126" s="38">
        <f t="shared" si="7"/>
        <v>0.20833333333333326</v>
      </c>
      <c r="P126" s="38">
        <v>0.22916666666666666</v>
      </c>
      <c r="Q126" s="38">
        <v>0.5</v>
      </c>
      <c r="R126" s="38">
        <v>1.3888888888888888E-2</v>
      </c>
      <c r="S126" s="38">
        <v>0.52083333333333337</v>
      </c>
      <c r="T126" s="46">
        <v>0.79166666666666663</v>
      </c>
      <c r="U126" s="38">
        <f t="shared" si="8"/>
        <v>0.52777777777777779</v>
      </c>
      <c r="V126" s="39"/>
      <c r="W126" s="39"/>
      <c r="X126" s="39"/>
      <c r="Y126" s="39">
        <v>0.20833333333333334</v>
      </c>
      <c r="Z126" s="39"/>
      <c r="AA126" s="39"/>
      <c r="AB126" s="39"/>
      <c r="AC126" s="40"/>
    </row>
    <row r="127" spans="1:29" ht="18" customHeight="1" x14ac:dyDescent="0.3">
      <c r="A127" s="45">
        <v>123</v>
      </c>
      <c r="B127" s="41" t="str">
        <f>IF(E127&lt;&gt;"",INDEX(Datos!D:D,MATCH(TH!E127,Datos!A:A,0)),"")</f>
        <v>ZARAGOZA</v>
      </c>
      <c r="C127" s="41" t="str">
        <f>IF(E127&lt;&gt;"",INDEX(Datos!C:C,MATCH(TH!E127,Datos!A:A,0)),"")</f>
        <v>CONDUCTOR</v>
      </c>
      <c r="D127" s="23" t="str">
        <f>IF(E127&lt;&gt;"",INDEX(Datos!B:B,MATCH(TH!E127,Datos!A:A,0)),"")</f>
        <v>VALLEJO VERGARA YOMAEL DAVID</v>
      </c>
      <c r="E127">
        <v>8055765</v>
      </c>
      <c r="F127" s="35" t="s">
        <v>4</v>
      </c>
      <c r="G127" s="36">
        <v>2026</v>
      </c>
      <c r="H127" s="37">
        <v>9</v>
      </c>
      <c r="I127" s="52" t="s">
        <v>867</v>
      </c>
      <c r="J127" s="52" t="s">
        <v>528</v>
      </c>
      <c r="K127" s="53">
        <v>46154</v>
      </c>
      <c r="L127" s="34" t="s">
        <v>7</v>
      </c>
      <c r="M127" s="38">
        <v>0.20833333333333334</v>
      </c>
      <c r="N127" s="38">
        <v>0.25</v>
      </c>
      <c r="O127" s="38">
        <f t="shared" si="7"/>
        <v>4.1666666666666657E-2</v>
      </c>
      <c r="P127" s="38">
        <v>0.20833333333333334</v>
      </c>
      <c r="Q127" s="38">
        <v>0.5</v>
      </c>
      <c r="R127" s="38">
        <v>1.3888888888888888E-2</v>
      </c>
      <c r="S127" s="38">
        <v>0.52083333333333337</v>
      </c>
      <c r="T127" s="46">
        <v>0.70833333333333337</v>
      </c>
      <c r="U127" s="38">
        <f t="shared" si="8"/>
        <v>0.46527777777777773</v>
      </c>
      <c r="V127" s="39">
        <v>4.1666666666666664E-2</v>
      </c>
      <c r="W127" s="39"/>
      <c r="X127" s="39"/>
      <c r="Y127" s="39"/>
      <c r="Z127" s="39"/>
      <c r="AA127" s="39"/>
      <c r="AB127" s="39"/>
      <c r="AC127" s="40"/>
    </row>
    <row r="128" spans="1:29" ht="18" customHeight="1" x14ac:dyDescent="0.3">
      <c r="A128" s="45">
        <v>124</v>
      </c>
      <c r="B128" s="41" t="str">
        <f>IF(E128&lt;&gt;"",INDEX(Datos!D:D,MATCH(TH!E128,Datos!A:A,0)),"")</f>
        <v>ZARAGOZA</v>
      </c>
      <c r="C128" s="41" t="str">
        <f>IF(E128&lt;&gt;"",INDEX(Datos!C:C,MATCH(TH!E128,Datos!A:A,0)),"")</f>
        <v>CONDUCTOR</v>
      </c>
      <c r="D128" s="23" t="str">
        <f>IF(E128&lt;&gt;"",INDEX(Datos!B:B,MATCH(TH!E128,Datos!A:A,0)),"")</f>
        <v>VALLEJO VERGARA YOMAEL DAVID</v>
      </c>
      <c r="E128">
        <v>8055765</v>
      </c>
      <c r="F128" s="35" t="s">
        <v>15</v>
      </c>
      <c r="G128" s="36">
        <v>2026</v>
      </c>
      <c r="H128" s="37">
        <v>9</v>
      </c>
      <c r="I128" s="52" t="s">
        <v>1004</v>
      </c>
      <c r="J128" s="52" t="s">
        <v>528</v>
      </c>
      <c r="K128" s="53">
        <v>46154</v>
      </c>
      <c r="L128" s="34" t="s">
        <v>7</v>
      </c>
      <c r="M128" s="38">
        <v>0.5625</v>
      </c>
      <c r="N128" s="46">
        <v>0.70833333333333337</v>
      </c>
      <c r="O128" s="38">
        <f t="shared" si="7"/>
        <v>0.14583333333333337</v>
      </c>
      <c r="P128" s="38">
        <v>0.20833333333333334</v>
      </c>
      <c r="Q128" s="38">
        <v>0.5</v>
      </c>
      <c r="R128" s="38">
        <v>1.3888888888888888E-2</v>
      </c>
      <c r="S128" s="38">
        <v>0.52083333333333337</v>
      </c>
      <c r="T128" s="46">
        <v>0.70833333333333337</v>
      </c>
      <c r="U128" s="38">
        <f t="shared" si="8"/>
        <v>0.46527777777777773</v>
      </c>
      <c r="V128" s="39"/>
      <c r="W128" s="39"/>
      <c r="X128" s="39"/>
      <c r="Y128" s="39">
        <v>0.14583333333333334</v>
      </c>
      <c r="Z128" s="39"/>
      <c r="AA128" s="39"/>
      <c r="AB128" s="39"/>
      <c r="AC128" s="40"/>
    </row>
    <row r="129" spans="1:29" ht="18" customHeight="1" x14ac:dyDescent="0.3">
      <c r="A129" s="44">
        <v>125</v>
      </c>
      <c r="B129" s="41" t="str">
        <f>IF(E129&lt;&gt;"",INDEX(Datos!D:D,MATCH(TH!E129,Datos!A:A,0)),"")</f>
        <v>CAUCASIA</v>
      </c>
      <c r="C129" s="41" t="str">
        <f>IF(E129&lt;&gt;"",INDEX(Datos!C:C,MATCH(TH!E129,Datos!A:A,0)),"")</f>
        <v>CONDUCTOR</v>
      </c>
      <c r="D129" s="23" t="str">
        <f>IF(E129&lt;&gt;"",INDEX(Datos!B:B,MATCH(TH!E129,Datos!A:A,0)),"")</f>
        <v>ALEANS ARGUMEDO CARLOS DANILO</v>
      </c>
      <c r="E129">
        <v>1063301292</v>
      </c>
      <c r="F129" s="35" t="s">
        <v>4</v>
      </c>
      <c r="G129" s="36">
        <v>2026</v>
      </c>
      <c r="H129" s="37">
        <v>9</v>
      </c>
      <c r="I129" s="52" t="s">
        <v>867</v>
      </c>
      <c r="J129" s="52" t="s">
        <v>528</v>
      </c>
      <c r="K129" s="53">
        <v>46154</v>
      </c>
      <c r="L129" s="34" t="s">
        <v>7</v>
      </c>
      <c r="M129" s="38">
        <v>0.20833333333333334</v>
      </c>
      <c r="N129" s="38">
        <v>0.25</v>
      </c>
      <c r="O129" s="38">
        <f t="shared" si="7"/>
        <v>4.1666666666666657E-2</v>
      </c>
      <c r="P129" s="38">
        <v>0.20833333333333334</v>
      </c>
      <c r="Q129" s="38">
        <v>0.5</v>
      </c>
      <c r="R129" s="38">
        <v>1.3888888888888888E-2</v>
      </c>
      <c r="S129" s="38">
        <v>0.52083333333333337</v>
      </c>
      <c r="T129" s="46">
        <v>0.77083333333333337</v>
      </c>
      <c r="U129" s="38">
        <f t="shared" si="8"/>
        <v>0.52777777777777779</v>
      </c>
      <c r="V129" s="39">
        <v>4.1666666666666664E-2</v>
      </c>
      <c r="W129" s="39"/>
      <c r="X129" s="39"/>
      <c r="Y129" s="39"/>
      <c r="Z129" s="39"/>
      <c r="AA129" s="39"/>
      <c r="AB129" s="39"/>
      <c r="AC129" s="40"/>
    </row>
    <row r="130" spans="1:29" ht="18" customHeight="1" x14ac:dyDescent="0.3">
      <c r="A130" s="44">
        <v>126</v>
      </c>
      <c r="B130" s="41" t="str">
        <f>IF(E130&lt;&gt;"",INDEX(Datos!D:D,MATCH(TH!E130,Datos!A:A,0)),"")</f>
        <v>CAUCASIA</v>
      </c>
      <c r="C130" s="41" t="str">
        <f>IF(E130&lt;&gt;"",INDEX(Datos!C:C,MATCH(TH!E130,Datos!A:A,0)),"")</f>
        <v>CONDUCTOR</v>
      </c>
      <c r="D130" s="23" t="str">
        <f>IF(E130&lt;&gt;"",INDEX(Datos!B:B,MATCH(TH!E130,Datos!A:A,0)),"")</f>
        <v>ALEANS ARGUMEDO CARLOS DANILO</v>
      </c>
      <c r="E130">
        <v>1063301292</v>
      </c>
      <c r="F130" s="35" t="s">
        <v>15</v>
      </c>
      <c r="G130" s="36">
        <v>2026</v>
      </c>
      <c r="H130" s="37">
        <v>9</v>
      </c>
      <c r="I130" s="52" t="s">
        <v>917</v>
      </c>
      <c r="J130" s="52" t="s">
        <v>528</v>
      </c>
      <c r="K130" s="53">
        <v>46154</v>
      </c>
      <c r="L130" s="34" t="s">
        <v>7</v>
      </c>
      <c r="M130" s="38">
        <v>0.5625</v>
      </c>
      <c r="N130" s="46">
        <v>0.77083333333333337</v>
      </c>
      <c r="O130" s="38">
        <f t="shared" si="7"/>
        <v>0.20833333333333337</v>
      </c>
      <c r="P130" s="38">
        <v>0.20833333333333334</v>
      </c>
      <c r="Q130" s="38">
        <v>0.5</v>
      </c>
      <c r="R130" s="38">
        <v>1.3888888888888888E-2</v>
      </c>
      <c r="S130" s="38">
        <v>0.52083333333333337</v>
      </c>
      <c r="T130" s="46">
        <v>0.77083333333333337</v>
      </c>
      <c r="U130" s="38">
        <f t="shared" si="8"/>
        <v>0.52777777777777779</v>
      </c>
      <c r="V130" s="39"/>
      <c r="W130" s="39"/>
      <c r="X130" s="39"/>
      <c r="Y130" s="39">
        <v>0.20833333333333334</v>
      </c>
      <c r="Z130" s="39"/>
      <c r="AA130" s="39"/>
      <c r="AB130" s="39"/>
      <c r="AC130" s="40"/>
    </row>
    <row r="131" spans="1:29" ht="18" customHeight="1" x14ac:dyDescent="0.3">
      <c r="A131" s="45">
        <v>127</v>
      </c>
      <c r="B131" s="41" t="str">
        <f>IF(E131&lt;&gt;"",INDEX(Datos!D:D,MATCH(TH!E131,Datos!A:A,0)),"")</f>
        <v>CAUCASIA</v>
      </c>
      <c r="C131" s="41" t="str">
        <f>IF(E131&lt;&gt;"",INDEX(Datos!C:C,MATCH(TH!E131,Datos!A:A,0)),"")</f>
        <v>CONDUCTOR</v>
      </c>
      <c r="D131" s="23" t="str">
        <f>IF(E131&lt;&gt;"",INDEX(Datos!B:B,MATCH(TH!E131,Datos!A:A,0)),"")</f>
        <v>BENITEZ EDELBERTO ANTONIO</v>
      </c>
      <c r="E131">
        <v>78297379</v>
      </c>
      <c r="F131" s="35" t="s">
        <v>4</v>
      </c>
      <c r="G131" s="36">
        <v>2026</v>
      </c>
      <c r="H131" s="37">
        <v>9</v>
      </c>
      <c r="I131" s="52" t="s">
        <v>867</v>
      </c>
      <c r="J131" s="52" t="s">
        <v>528</v>
      </c>
      <c r="K131" s="53">
        <v>46154</v>
      </c>
      <c r="L131" s="34" t="s">
        <v>7</v>
      </c>
      <c r="M131" s="38">
        <v>0.20833333333333334</v>
      </c>
      <c r="N131" s="38">
        <v>0.25</v>
      </c>
      <c r="O131" s="38">
        <f t="shared" si="7"/>
        <v>4.1666666666666657E-2</v>
      </c>
      <c r="P131" s="38">
        <v>0.20833333333333334</v>
      </c>
      <c r="Q131" s="38">
        <v>0.5</v>
      </c>
      <c r="R131" s="38">
        <v>1.3888888888888888E-2</v>
      </c>
      <c r="S131" s="38">
        <v>0.52083333333333337</v>
      </c>
      <c r="T131" s="46">
        <v>0.75</v>
      </c>
      <c r="U131" s="38">
        <f t="shared" si="8"/>
        <v>0.50694444444444442</v>
      </c>
      <c r="V131" s="39">
        <v>4.1666666666666664E-2</v>
      </c>
      <c r="W131" s="39"/>
      <c r="X131" s="39"/>
      <c r="Y131" s="39"/>
      <c r="Z131" s="39"/>
      <c r="AA131" s="39"/>
      <c r="AB131" s="39"/>
      <c r="AC131" s="40"/>
    </row>
    <row r="132" spans="1:29" ht="18" customHeight="1" x14ac:dyDescent="0.3">
      <c r="A132" s="44">
        <v>128</v>
      </c>
      <c r="B132" s="41" t="str">
        <f>IF(E132&lt;&gt;"",INDEX(Datos!D:D,MATCH(TH!E132,Datos!A:A,0)),"")</f>
        <v>CAUCASIA</v>
      </c>
      <c r="C132" s="41" t="str">
        <f>IF(E132&lt;&gt;"",INDEX(Datos!C:C,MATCH(TH!E132,Datos!A:A,0)),"")</f>
        <v>CONDUCTOR</v>
      </c>
      <c r="D132" s="23" t="str">
        <f>IF(E132&lt;&gt;"",INDEX(Datos!B:B,MATCH(TH!E132,Datos!A:A,0)),"")</f>
        <v>BENITEZ EDELBERTO ANTONIO</v>
      </c>
      <c r="E132">
        <v>78297379</v>
      </c>
      <c r="F132" s="35" t="s">
        <v>15</v>
      </c>
      <c r="G132" s="36">
        <v>2026</v>
      </c>
      <c r="H132" s="37">
        <v>9</v>
      </c>
      <c r="I132" s="52" t="s">
        <v>917</v>
      </c>
      <c r="J132" s="52" t="s">
        <v>528</v>
      </c>
      <c r="K132" s="53">
        <v>46154</v>
      </c>
      <c r="L132" s="34" t="s">
        <v>7</v>
      </c>
      <c r="M132" s="38">
        <v>0.54166666666666663</v>
      </c>
      <c r="N132" s="46">
        <v>0.75</v>
      </c>
      <c r="O132" s="38">
        <f t="shared" si="7"/>
        <v>0.20833333333333337</v>
      </c>
      <c r="P132" s="38">
        <v>0.20833333333333334</v>
      </c>
      <c r="Q132" s="38">
        <v>0.5</v>
      </c>
      <c r="R132" s="38">
        <v>1.3888888888888888E-2</v>
      </c>
      <c r="S132" s="38">
        <v>0.52083333333333337</v>
      </c>
      <c r="T132" s="46">
        <v>0.75</v>
      </c>
      <c r="U132" s="38">
        <f t="shared" si="8"/>
        <v>0.50694444444444442</v>
      </c>
      <c r="V132" s="39"/>
      <c r="W132" s="39"/>
      <c r="X132" s="39"/>
      <c r="Y132" s="39">
        <v>0.20833333333333334</v>
      </c>
      <c r="Z132" s="39"/>
      <c r="AA132" s="39"/>
      <c r="AB132" s="39"/>
      <c r="AC132" s="40"/>
    </row>
    <row r="133" spans="1:29" ht="18" customHeight="1" x14ac:dyDescent="0.3">
      <c r="A133" s="45">
        <v>129</v>
      </c>
      <c r="B133" s="41" t="str">
        <f>IF(E133&lt;&gt;"",INDEX(Datos!D:D,MATCH(TH!E133,Datos!A:A,0)),"")</f>
        <v>NECHI</v>
      </c>
      <c r="C133" s="41" t="str">
        <f>IF(E133&lt;&gt;"",INDEX(Datos!C:C,MATCH(TH!E133,Datos!A:A,0)),"")</f>
        <v>CONDUCTOR</v>
      </c>
      <c r="D133" s="23" t="str">
        <f>IF(E133&lt;&gt;"",INDEX(Datos!B:B,MATCH(TH!E133,Datos!A:A,0)),"")</f>
        <v>CARDONA RAMOS JULIO CESAR</v>
      </c>
      <c r="E133">
        <v>15611770</v>
      </c>
      <c r="F133" s="35" t="s">
        <v>4</v>
      </c>
      <c r="G133" s="36">
        <v>2026</v>
      </c>
      <c r="H133" s="37">
        <v>9</v>
      </c>
      <c r="I133" s="52" t="s">
        <v>867</v>
      </c>
      <c r="J133" s="52" t="s">
        <v>528</v>
      </c>
      <c r="K133" s="53">
        <v>46154</v>
      </c>
      <c r="L133" s="34" t="s">
        <v>7</v>
      </c>
      <c r="M133" s="38">
        <v>0.20833333333333334</v>
      </c>
      <c r="N133" s="38">
        <v>0.25</v>
      </c>
      <c r="O133" s="38">
        <f t="shared" si="7"/>
        <v>4.1666666666666657E-2</v>
      </c>
      <c r="P133" s="38">
        <v>0.20833333333333334</v>
      </c>
      <c r="Q133" s="38">
        <v>0.5</v>
      </c>
      <c r="R133" s="38">
        <v>1.3888888888888888E-2</v>
      </c>
      <c r="S133" s="38">
        <v>0.52083333333333337</v>
      </c>
      <c r="T133" s="46">
        <v>0.60416666666666663</v>
      </c>
      <c r="U133" s="38">
        <f t="shared" si="8"/>
        <v>0.36111111111111099</v>
      </c>
      <c r="V133" s="39">
        <v>4.1666666666666664E-2</v>
      </c>
      <c r="W133" s="39"/>
      <c r="X133" s="39"/>
      <c r="Y133" s="39"/>
      <c r="Z133" s="39"/>
      <c r="AA133" s="39"/>
      <c r="AB133" s="39"/>
      <c r="AC133" s="40"/>
    </row>
    <row r="134" spans="1:29" ht="18" customHeight="1" x14ac:dyDescent="0.3">
      <c r="A134" s="45">
        <v>130</v>
      </c>
      <c r="B134" s="41" t="str">
        <f>IF(E134&lt;&gt;"",INDEX(Datos!D:D,MATCH(TH!E134,Datos!A:A,0)),"")</f>
        <v/>
      </c>
      <c r="C134" s="41" t="str">
        <f>IF(E134&lt;&gt;"",INDEX(Datos!C:C,MATCH(TH!E134,Datos!A:A,0)),"")</f>
        <v/>
      </c>
      <c r="D134" s="23" t="str">
        <f>IF(E134&lt;&gt;"",INDEX(Datos!B:B,MATCH(TH!E134,Datos!A:A,0)),"")</f>
        <v/>
      </c>
      <c r="E134"/>
      <c r="F134" s="35"/>
      <c r="G134" s="36">
        <v>2026</v>
      </c>
      <c r="H134" s="37">
        <v>9</v>
      </c>
      <c r="I134" s="52"/>
      <c r="J134" s="52" t="s">
        <v>528</v>
      </c>
      <c r="K134" s="53">
        <v>46154</v>
      </c>
      <c r="L134" s="34" t="s">
        <v>7</v>
      </c>
      <c r="M134" s="38"/>
      <c r="N134" s="38"/>
      <c r="O134" s="38">
        <f t="shared" si="7"/>
        <v>0</v>
      </c>
      <c r="P134" s="38"/>
      <c r="Q134" s="38"/>
      <c r="R134" s="38"/>
      <c r="S134" s="38"/>
      <c r="T134" s="46"/>
      <c r="U134" s="38">
        <f t="shared" si="8"/>
        <v>0</v>
      </c>
      <c r="V134" s="39"/>
      <c r="W134" s="39"/>
      <c r="X134" s="39"/>
      <c r="Y134" s="39"/>
      <c r="Z134" s="39"/>
      <c r="AA134" s="39"/>
      <c r="AB134" s="39"/>
      <c r="AC134" s="40"/>
    </row>
    <row r="135" spans="1:29" ht="18" customHeight="1" x14ac:dyDescent="0.3">
      <c r="A135" s="44">
        <v>131</v>
      </c>
      <c r="B135" s="41" t="str">
        <f>IF(E135&lt;&gt;"",INDEX(Datos!D:D,MATCH(TH!E135,Datos!A:A,0)),"")</f>
        <v/>
      </c>
      <c r="C135" s="41" t="str">
        <f>IF(E135&lt;&gt;"",INDEX(Datos!C:C,MATCH(TH!E135,Datos!A:A,0)),"")</f>
        <v/>
      </c>
      <c r="D135" s="23" t="str">
        <f>IF(E135&lt;&gt;"",INDEX(Datos!B:B,MATCH(TH!E135,Datos!A:A,0)),"")</f>
        <v/>
      </c>
      <c r="E135"/>
      <c r="F135" s="35"/>
      <c r="G135" s="36">
        <v>2026</v>
      </c>
      <c r="H135" s="37">
        <v>9</v>
      </c>
      <c r="I135" s="52"/>
      <c r="J135" s="52" t="s">
        <v>528</v>
      </c>
      <c r="K135" s="53">
        <v>46154</v>
      </c>
      <c r="L135" s="34" t="s">
        <v>7</v>
      </c>
      <c r="M135" s="38"/>
      <c r="N135" s="46"/>
      <c r="O135" s="38">
        <f t="shared" si="7"/>
        <v>0</v>
      </c>
      <c r="P135" s="38"/>
      <c r="Q135" s="38"/>
      <c r="R135" s="38"/>
      <c r="S135" s="38"/>
      <c r="T135" s="46"/>
      <c r="U135" s="38">
        <f t="shared" si="8"/>
        <v>0</v>
      </c>
      <c r="V135" s="39"/>
      <c r="W135" s="39"/>
      <c r="X135" s="39"/>
      <c r="Y135" s="39"/>
      <c r="Z135" s="39"/>
      <c r="AA135" s="39"/>
      <c r="AB135" s="39"/>
      <c r="AC135" s="40"/>
    </row>
    <row r="136" spans="1:29" ht="18" customHeight="1" x14ac:dyDescent="0.3">
      <c r="A136" s="44">
        <v>132</v>
      </c>
      <c r="B136" s="41" t="str">
        <f>IF(E136&lt;&gt;"",INDEX(Datos!D:D,MATCH(TH!E136,Datos!A:A,0)),"")</f>
        <v/>
      </c>
      <c r="C136" s="41" t="str">
        <f>IF(E136&lt;&gt;"",INDEX(Datos!C:C,MATCH(TH!E136,Datos!A:A,0)),"")</f>
        <v/>
      </c>
      <c r="D136" s="23" t="str">
        <f>IF(E136&lt;&gt;"",INDEX(Datos!B:B,MATCH(TH!E136,Datos!A:A,0)),"")</f>
        <v/>
      </c>
      <c r="E136"/>
      <c r="F136" s="35"/>
      <c r="G136" s="36">
        <v>2026</v>
      </c>
      <c r="H136" s="37">
        <v>9</v>
      </c>
      <c r="I136" s="52"/>
      <c r="J136" s="52" t="s">
        <v>528</v>
      </c>
      <c r="K136" s="53">
        <v>46154</v>
      </c>
      <c r="L136" s="34" t="s">
        <v>7</v>
      </c>
      <c r="M136" s="38"/>
      <c r="N136" s="38"/>
      <c r="O136" s="38">
        <f t="shared" si="7"/>
        <v>0</v>
      </c>
      <c r="P136" s="38"/>
      <c r="Q136" s="38"/>
      <c r="R136" s="38"/>
      <c r="S136" s="38"/>
      <c r="T136" s="38"/>
      <c r="U136" s="38">
        <f t="shared" si="8"/>
        <v>0</v>
      </c>
      <c r="V136" s="39"/>
      <c r="W136" s="39"/>
      <c r="X136" s="39"/>
      <c r="Y136" s="39"/>
      <c r="Z136" s="39"/>
      <c r="AA136" s="39"/>
      <c r="AB136" s="39"/>
      <c r="AC136" s="40"/>
    </row>
    <row r="137" spans="1:29" ht="18" customHeight="1" x14ac:dyDescent="0.3">
      <c r="A137" s="45">
        <v>133</v>
      </c>
      <c r="B137" s="41" t="str">
        <f>IF(E137&lt;&gt;"",INDEX(Datos!D:D,MATCH(TH!E137,Datos!A:A,0)),"")</f>
        <v/>
      </c>
      <c r="C137" s="41" t="str">
        <f>IF(E137&lt;&gt;"",INDEX(Datos!C:C,MATCH(TH!E137,Datos!A:A,0)),"")</f>
        <v/>
      </c>
      <c r="D137" s="23" t="str">
        <f>IF(E137&lt;&gt;"",INDEX(Datos!B:B,MATCH(TH!E137,Datos!A:A,0)),"")</f>
        <v/>
      </c>
      <c r="E137"/>
      <c r="F137" s="35"/>
      <c r="G137" s="36">
        <v>2026</v>
      </c>
      <c r="H137" s="37">
        <v>9</v>
      </c>
      <c r="I137" s="52"/>
      <c r="J137" s="52" t="s">
        <v>528</v>
      </c>
      <c r="K137" s="53">
        <v>46154</v>
      </c>
      <c r="L137" s="34" t="s">
        <v>7</v>
      </c>
      <c r="M137" s="38"/>
      <c r="N137" s="46"/>
      <c r="O137" s="38">
        <f t="shared" ref="O137:O200" si="12">+N137-M137</f>
        <v>0</v>
      </c>
      <c r="P137" s="38"/>
      <c r="Q137" s="38"/>
      <c r="R137" s="38"/>
      <c r="S137" s="38"/>
      <c r="T137" s="46"/>
      <c r="U137" s="38">
        <f t="shared" si="8"/>
        <v>0</v>
      </c>
      <c r="V137" s="39"/>
      <c r="W137" s="39"/>
      <c r="X137" s="39"/>
      <c r="Y137" s="39"/>
      <c r="Z137" s="39"/>
      <c r="AA137" s="39"/>
      <c r="AB137" s="39"/>
      <c r="AC137" s="40"/>
    </row>
    <row r="138" spans="1:29" ht="18" customHeight="1" x14ac:dyDescent="0.3">
      <c r="A138" s="44">
        <v>134</v>
      </c>
      <c r="B138" s="41" t="str">
        <f>IF(E138&lt;&gt;"",INDEX(Datos!D:D,MATCH(TH!E138,Datos!A:A,0)),"")</f>
        <v/>
      </c>
      <c r="C138" s="41" t="str">
        <f>IF(E138&lt;&gt;"",INDEX(Datos!C:C,MATCH(TH!E138,Datos!A:A,0)),"")</f>
        <v/>
      </c>
      <c r="D138" s="23" t="str">
        <f>IF(E138&lt;&gt;"",INDEX(Datos!B:B,MATCH(TH!E138,Datos!A:A,0)),"")</f>
        <v/>
      </c>
      <c r="E138"/>
      <c r="F138" s="35"/>
      <c r="G138" s="36">
        <v>2026</v>
      </c>
      <c r="H138" s="37">
        <v>9</v>
      </c>
      <c r="I138" s="52"/>
      <c r="J138" s="52" t="s">
        <v>528</v>
      </c>
      <c r="K138" s="53">
        <v>46154</v>
      </c>
      <c r="L138" s="34" t="s">
        <v>7</v>
      </c>
      <c r="M138" s="38"/>
      <c r="N138" s="38"/>
      <c r="O138" s="38">
        <f t="shared" si="12"/>
        <v>0</v>
      </c>
      <c r="P138" s="38"/>
      <c r="Q138" s="38"/>
      <c r="R138" s="38"/>
      <c r="S138" s="38"/>
      <c r="T138" s="46"/>
      <c r="U138" s="38">
        <f t="shared" si="8"/>
        <v>0</v>
      </c>
      <c r="V138" s="39"/>
      <c r="W138" s="39"/>
      <c r="X138" s="39"/>
      <c r="Y138" s="39"/>
      <c r="Z138" s="39"/>
      <c r="AA138" s="39"/>
      <c r="AB138" s="39"/>
      <c r="AC138" s="40"/>
    </row>
    <row r="139" spans="1:29" ht="18" customHeight="1" x14ac:dyDescent="0.3">
      <c r="A139" s="45">
        <v>135</v>
      </c>
      <c r="B139" s="41" t="str">
        <f>IF(E139&lt;&gt;"",INDEX(Datos!D:D,MATCH(TH!E139,Datos!A:A,0)),"")</f>
        <v/>
      </c>
      <c r="C139" s="41" t="str">
        <f>IF(E139&lt;&gt;"",INDEX(Datos!C:C,MATCH(TH!E139,Datos!A:A,0)),"")</f>
        <v/>
      </c>
      <c r="D139" s="23" t="str">
        <f>IF(E139&lt;&gt;"",INDEX(Datos!B:B,MATCH(TH!E139,Datos!A:A,0)),"")</f>
        <v/>
      </c>
      <c r="E139"/>
      <c r="F139" s="35"/>
      <c r="G139" s="36">
        <v>2026</v>
      </c>
      <c r="H139" s="37">
        <v>9</v>
      </c>
      <c r="I139" s="52"/>
      <c r="J139" s="52" t="s">
        <v>528</v>
      </c>
      <c r="K139" s="53">
        <v>46154</v>
      </c>
      <c r="L139" s="34" t="s">
        <v>7</v>
      </c>
      <c r="M139" s="38"/>
      <c r="N139" s="46"/>
      <c r="O139" s="38">
        <f t="shared" si="12"/>
        <v>0</v>
      </c>
      <c r="P139" s="38"/>
      <c r="Q139" s="38"/>
      <c r="R139" s="38"/>
      <c r="S139" s="38"/>
      <c r="T139" s="46"/>
      <c r="U139" s="38">
        <f t="shared" si="8"/>
        <v>0</v>
      </c>
      <c r="V139" s="39"/>
      <c r="W139" s="39"/>
      <c r="X139" s="39"/>
      <c r="Y139" s="39"/>
      <c r="Z139" s="39"/>
      <c r="AA139" s="39"/>
      <c r="AB139" s="39"/>
      <c r="AC139" s="40"/>
    </row>
    <row r="140" spans="1:29" ht="18" customHeight="1" x14ac:dyDescent="0.3">
      <c r="A140" s="45">
        <v>136</v>
      </c>
      <c r="B140" s="41" t="str">
        <f>IF(E140&lt;&gt;"",INDEX(Datos!D:D,MATCH(TH!E140,Datos!A:A,0)),"")</f>
        <v/>
      </c>
      <c r="C140" s="41" t="str">
        <f>IF(E140&lt;&gt;"",INDEX(Datos!C:C,MATCH(TH!E140,Datos!A:A,0)),"")</f>
        <v/>
      </c>
      <c r="D140" s="23" t="str">
        <f>IF(E140&lt;&gt;"",INDEX(Datos!B:B,MATCH(TH!E140,Datos!A:A,0)),"")</f>
        <v/>
      </c>
      <c r="E140"/>
      <c r="F140" s="35"/>
      <c r="G140" s="36">
        <v>2026</v>
      </c>
      <c r="H140" s="37">
        <v>9</v>
      </c>
      <c r="I140" s="52"/>
      <c r="J140" s="52" t="s">
        <v>528</v>
      </c>
      <c r="K140" s="53">
        <v>46154</v>
      </c>
      <c r="L140" s="34" t="s">
        <v>7</v>
      </c>
      <c r="M140" s="38"/>
      <c r="N140" s="38"/>
      <c r="O140" s="38">
        <f t="shared" si="12"/>
        <v>0</v>
      </c>
      <c r="P140" s="38"/>
      <c r="Q140" s="38"/>
      <c r="R140" s="38"/>
      <c r="S140" s="38"/>
      <c r="T140" s="46"/>
      <c r="U140" s="38">
        <f t="shared" si="8"/>
        <v>0</v>
      </c>
      <c r="V140" s="39"/>
      <c r="W140" s="39"/>
      <c r="X140" s="39"/>
      <c r="Y140" s="39"/>
      <c r="Z140" s="39"/>
      <c r="AA140" s="39"/>
      <c r="AB140" s="39"/>
      <c r="AC140" s="40"/>
    </row>
    <row r="141" spans="1:29" ht="18" customHeight="1" x14ac:dyDescent="0.3">
      <c r="A141" s="44">
        <v>137</v>
      </c>
      <c r="B141" s="41" t="str">
        <f>IF(E141&lt;&gt;"",INDEX(Datos!D:D,MATCH(TH!E141,Datos!A:A,0)),"")</f>
        <v/>
      </c>
      <c r="C141" s="41" t="str">
        <f>IF(E141&lt;&gt;"",INDEX(Datos!C:C,MATCH(TH!E141,Datos!A:A,0)),"")</f>
        <v/>
      </c>
      <c r="D141" s="23" t="str">
        <f>IF(E141&lt;&gt;"",INDEX(Datos!B:B,MATCH(TH!E141,Datos!A:A,0)),"")</f>
        <v/>
      </c>
      <c r="E141"/>
      <c r="F141" s="35"/>
      <c r="G141" s="36">
        <v>2026</v>
      </c>
      <c r="H141" s="37">
        <v>9</v>
      </c>
      <c r="I141" s="52"/>
      <c r="J141" s="52" t="s">
        <v>528</v>
      </c>
      <c r="K141" s="53">
        <v>46154</v>
      </c>
      <c r="L141" s="34" t="s">
        <v>7</v>
      </c>
      <c r="M141" s="38"/>
      <c r="N141" s="38"/>
      <c r="O141" s="38">
        <f t="shared" si="12"/>
        <v>0</v>
      </c>
      <c r="P141" s="38"/>
      <c r="Q141" s="38"/>
      <c r="R141" s="38"/>
      <c r="S141" s="38"/>
      <c r="T141" s="46"/>
      <c r="U141" s="38">
        <f t="shared" si="8"/>
        <v>0</v>
      </c>
      <c r="V141" s="39"/>
      <c r="W141" s="39"/>
      <c r="X141" s="39"/>
      <c r="Y141" s="39"/>
      <c r="Z141" s="39"/>
      <c r="AA141" s="39"/>
      <c r="AB141" s="39"/>
      <c r="AC141" s="40"/>
    </row>
    <row r="142" spans="1:29" ht="18" customHeight="1" x14ac:dyDescent="0.3">
      <c r="A142" s="44">
        <v>138</v>
      </c>
      <c r="B142" s="41" t="str">
        <f>IF(E142&lt;&gt;"",INDEX(Datos!D:D,MATCH(TH!E142,Datos!A:A,0)),"")</f>
        <v/>
      </c>
      <c r="C142" s="41" t="str">
        <f>IF(E142&lt;&gt;"",INDEX(Datos!C:C,MATCH(TH!E142,Datos!A:A,0)),"")</f>
        <v/>
      </c>
      <c r="D142" s="23" t="str">
        <f>IF(E142&lt;&gt;"",INDEX(Datos!B:B,MATCH(TH!E142,Datos!A:A,0)),"")</f>
        <v/>
      </c>
      <c r="E142"/>
      <c r="F142" s="35"/>
      <c r="G142" s="36">
        <v>2026</v>
      </c>
      <c r="H142" s="37">
        <v>9</v>
      </c>
      <c r="I142" s="52"/>
      <c r="J142" s="52" t="s">
        <v>528</v>
      </c>
      <c r="K142" s="53">
        <v>46154</v>
      </c>
      <c r="L142" s="34" t="s">
        <v>7</v>
      </c>
      <c r="M142" s="38"/>
      <c r="N142" s="38"/>
      <c r="O142" s="38">
        <f t="shared" si="12"/>
        <v>0</v>
      </c>
      <c r="P142" s="38"/>
      <c r="Q142" s="38"/>
      <c r="R142" s="38"/>
      <c r="S142" s="38"/>
      <c r="T142" s="38"/>
      <c r="U142" s="38">
        <f t="shared" si="8"/>
        <v>0</v>
      </c>
      <c r="V142" s="39"/>
      <c r="W142" s="39"/>
      <c r="X142" s="39"/>
      <c r="Y142" s="39"/>
      <c r="Z142" s="39"/>
      <c r="AA142" s="39"/>
      <c r="AB142" s="39"/>
      <c r="AC142" s="40"/>
    </row>
    <row r="143" spans="1:29" ht="18" customHeight="1" x14ac:dyDescent="0.3">
      <c r="A143" s="45">
        <v>139</v>
      </c>
      <c r="B143" s="41" t="str">
        <f>IF(E143&lt;&gt;"",INDEX(Datos!D:D,MATCH(TH!E143,Datos!A:A,0)),"")</f>
        <v/>
      </c>
      <c r="C143" s="41" t="str">
        <f>IF(E143&lt;&gt;"",INDEX(Datos!C:C,MATCH(TH!E143,Datos!A:A,0)),"")</f>
        <v/>
      </c>
      <c r="D143" s="23" t="str">
        <f>IF(E143&lt;&gt;"",INDEX(Datos!B:B,MATCH(TH!E143,Datos!A:A,0)),"")</f>
        <v/>
      </c>
      <c r="E143"/>
      <c r="F143" s="35"/>
      <c r="G143" s="36">
        <v>2026</v>
      </c>
      <c r="H143" s="37">
        <v>9</v>
      </c>
      <c r="I143" s="52"/>
      <c r="J143" s="52" t="s">
        <v>528</v>
      </c>
      <c r="K143" s="53">
        <v>46154</v>
      </c>
      <c r="L143" s="34" t="s">
        <v>7</v>
      </c>
      <c r="M143" s="38"/>
      <c r="N143" s="38"/>
      <c r="O143" s="38">
        <f t="shared" si="12"/>
        <v>0</v>
      </c>
      <c r="P143" s="38"/>
      <c r="Q143" s="38"/>
      <c r="R143" s="38"/>
      <c r="S143" s="38"/>
      <c r="T143" s="38"/>
      <c r="U143" s="38">
        <f t="shared" ref="U143:U206" si="13">(Q143-P143)+(T143-S143)-R143</f>
        <v>0</v>
      </c>
      <c r="V143" s="39"/>
      <c r="W143" s="39"/>
      <c r="X143" s="39"/>
      <c r="Y143" s="39"/>
      <c r="Z143" s="39"/>
      <c r="AA143" s="39"/>
      <c r="AB143" s="39"/>
      <c r="AC143" s="40"/>
    </row>
    <row r="144" spans="1:29" ht="18" customHeight="1" x14ac:dyDescent="0.3">
      <c r="A144" s="44">
        <v>140</v>
      </c>
      <c r="B144" s="41" t="str">
        <f>IF(E144&lt;&gt;"",INDEX(Datos!D:D,MATCH(TH!E144,Datos!A:A,0)),"")</f>
        <v/>
      </c>
      <c r="C144" s="41" t="str">
        <f>IF(E144&lt;&gt;"",INDEX(Datos!C:C,MATCH(TH!E144,Datos!A:A,0)),"")</f>
        <v/>
      </c>
      <c r="D144" s="23" t="str">
        <f>IF(E144&lt;&gt;"",INDEX(Datos!B:B,MATCH(TH!E144,Datos!A:A,0)),"")</f>
        <v/>
      </c>
      <c r="E144"/>
      <c r="F144" s="35"/>
      <c r="G144" s="36">
        <v>2026</v>
      </c>
      <c r="H144" s="37">
        <v>9</v>
      </c>
      <c r="I144" s="52"/>
      <c r="J144" s="52" t="s">
        <v>528</v>
      </c>
      <c r="K144" s="53">
        <v>46154</v>
      </c>
      <c r="L144" s="34" t="s">
        <v>7</v>
      </c>
      <c r="M144" s="38"/>
      <c r="N144" s="38"/>
      <c r="O144" s="38">
        <f t="shared" si="12"/>
        <v>0</v>
      </c>
      <c r="P144" s="38"/>
      <c r="Q144" s="38"/>
      <c r="R144" s="38"/>
      <c r="S144" s="38"/>
      <c r="T144" s="46"/>
      <c r="U144" s="38">
        <f t="shared" si="13"/>
        <v>0</v>
      </c>
      <c r="V144" s="39"/>
      <c r="W144" s="39"/>
      <c r="X144" s="39"/>
      <c r="Y144" s="39"/>
      <c r="Z144" s="39"/>
      <c r="AA144" s="39"/>
      <c r="AB144" s="39"/>
      <c r="AC144" s="40"/>
    </row>
    <row r="145" spans="1:29" ht="18" customHeight="1" x14ac:dyDescent="0.3">
      <c r="A145" s="45">
        <v>141</v>
      </c>
      <c r="B145" s="41" t="str">
        <f>IF(E145&lt;&gt;"",INDEX(Datos!D:D,MATCH(TH!E145,Datos!A:A,0)),"")</f>
        <v/>
      </c>
      <c r="C145" s="41" t="str">
        <f>IF(E145&lt;&gt;"",INDEX(Datos!C:C,MATCH(TH!E145,Datos!A:A,0)),"")</f>
        <v/>
      </c>
      <c r="D145" s="23" t="str">
        <f>IF(E145&lt;&gt;"",INDEX(Datos!B:B,MATCH(TH!E145,Datos!A:A,0)),"")</f>
        <v/>
      </c>
      <c r="E145"/>
      <c r="F145" s="35"/>
      <c r="G145" s="36">
        <v>2026</v>
      </c>
      <c r="H145" s="37">
        <v>9</v>
      </c>
      <c r="I145" s="52"/>
      <c r="J145" s="52" t="s">
        <v>528</v>
      </c>
      <c r="K145" s="53">
        <v>46154</v>
      </c>
      <c r="L145" s="34" t="s">
        <v>7</v>
      </c>
      <c r="M145" s="38"/>
      <c r="N145" s="38"/>
      <c r="O145" s="38">
        <f t="shared" si="12"/>
        <v>0</v>
      </c>
      <c r="P145" s="38"/>
      <c r="Q145" s="38"/>
      <c r="R145" s="38"/>
      <c r="S145" s="38"/>
      <c r="T145" s="46"/>
      <c r="U145" s="38">
        <f t="shared" si="13"/>
        <v>0</v>
      </c>
      <c r="V145" s="39"/>
      <c r="W145" s="39"/>
      <c r="X145" s="39"/>
      <c r="Y145" s="39"/>
      <c r="Z145" s="39"/>
      <c r="AA145" s="39"/>
      <c r="AB145" s="39"/>
      <c r="AC145" s="40"/>
    </row>
    <row r="146" spans="1:29" ht="18" customHeight="1" x14ac:dyDescent="0.3">
      <c r="A146" s="45">
        <v>142</v>
      </c>
      <c r="B146" s="41" t="str">
        <f>IF(E146&lt;&gt;"",INDEX(Datos!D:D,MATCH(TH!E146,Datos!A:A,0)),"")</f>
        <v/>
      </c>
      <c r="C146" s="41" t="str">
        <f>IF(E146&lt;&gt;"",INDEX(Datos!C:C,MATCH(TH!E146,Datos!A:A,0)),"")</f>
        <v/>
      </c>
      <c r="D146" s="23" t="str">
        <f>IF(E146&lt;&gt;"",INDEX(Datos!B:B,MATCH(TH!E146,Datos!A:A,0)),"")</f>
        <v/>
      </c>
      <c r="E146"/>
      <c r="F146" s="35"/>
      <c r="G146" s="36">
        <v>2026</v>
      </c>
      <c r="H146" s="37">
        <v>9</v>
      </c>
      <c r="I146" s="52"/>
      <c r="J146" s="52" t="s">
        <v>528</v>
      </c>
      <c r="K146" s="53">
        <v>46154</v>
      </c>
      <c r="L146" s="34" t="s">
        <v>7</v>
      </c>
      <c r="M146" s="38"/>
      <c r="N146" s="38"/>
      <c r="O146" s="38">
        <f t="shared" si="12"/>
        <v>0</v>
      </c>
      <c r="P146" s="38"/>
      <c r="Q146" s="38"/>
      <c r="R146" s="38"/>
      <c r="S146" s="38"/>
      <c r="T146" s="38"/>
      <c r="U146" s="38">
        <f t="shared" si="13"/>
        <v>0</v>
      </c>
      <c r="V146" s="39"/>
      <c r="W146" s="39"/>
      <c r="X146" s="39"/>
      <c r="Y146" s="39"/>
      <c r="Z146" s="39"/>
      <c r="AA146" s="39"/>
      <c r="AB146" s="39"/>
      <c r="AC146" s="40"/>
    </row>
    <row r="147" spans="1:29" ht="18" customHeight="1" x14ac:dyDescent="0.3">
      <c r="A147" s="44">
        <v>143</v>
      </c>
      <c r="B147" s="41" t="str">
        <f>IF(E147&lt;&gt;"",INDEX(Datos!D:D,MATCH(TH!E147,Datos!A:A,0)),"")</f>
        <v/>
      </c>
      <c r="C147" s="41" t="str">
        <f>IF(E147&lt;&gt;"",INDEX(Datos!C:C,MATCH(TH!E147,Datos!A:A,0)),"")</f>
        <v/>
      </c>
      <c r="D147" s="23" t="str">
        <f>IF(E147&lt;&gt;"",INDEX(Datos!B:B,MATCH(TH!E147,Datos!A:A,0)),"")</f>
        <v/>
      </c>
      <c r="E147"/>
      <c r="F147" s="35"/>
      <c r="G147" s="36">
        <v>2026</v>
      </c>
      <c r="H147" s="37">
        <v>9</v>
      </c>
      <c r="I147" s="52"/>
      <c r="J147" s="52" t="s">
        <v>528</v>
      </c>
      <c r="K147" s="53">
        <v>46154</v>
      </c>
      <c r="L147" s="34" t="s">
        <v>7</v>
      </c>
      <c r="M147" s="38"/>
      <c r="N147" s="38"/>
      <c r="O147" s="38">
        <f t="shared" si="12"/>
        <v>0</v>
      </c>
      <c r="P147" s="38"/>
      <c r="Q147" s="38"/>
      <c r="R147" s="38"/>
      <c r="S147" s="38"/>
      <c r="T147" s="38"/>
      <c r="U147" s="38">
        <f t="shared" si="13"/>
        <v>0</v>
      </c>
      <c r="V147" s="39"/>
      <c r="W147" s="39"/>
      <c r="X147" s="39"/>
      <c r="Y147" s="39"/>
      <c r="Z147" s="39"/>
      <c r="AA147" s="39"/>
      <c r="AB147" s="39"/>
      <c r="AC147" s="40"/>
    </row>
    <row r="148" spans="1:29" ht="18" customHeight="1" x14ac:dyDescent="0.3">
      <c r="A148" s="44">
        <v>144</v>
      </c>
      <c r="B148" s="41" t="str">
        <f>IF(E148&lt;&gt;"",INDEX(Datos!D:D,MATCH(TH!E148,Datos!A:A,0)),"")</f>
        <v/>
      </c>
      <c r="C148" s="41" t="str">
        <f>IF(E148&lt;&gt;"",INDEX(Datos!C:C,MATCH(TH!E148,Datos!A:A,0)),"")</f>
        <v/>
      </c>
      <c r="D148" s="23" t="str">
        <f>IF(E148&lt;&gt;"",INDEX(Datos!B:B,MATCH(TH!E148,Datos!A:A,0)),"")</f>
        <v/>
      </c>
      <c r="E148"/>
      <c r="F148" s="35"/>
      <c r="G148" s="36">
        <v>2026</v>
      </c>
      <c r="H148" s="37">
        <v>9</v>
      </c>
      <c r="I148" s="52"/>
      <c r="J148" s="52" t="s">
        <v>528</v>
      </c>
      <c r="K148" s="53">
        <v>46154</v>
      </c>
      <c r="L148" s="34" t="s">
        <v>7</v>
      </c>
      <c r="M148" s="38"/>
      <c r="N148" s="38"/>
      <c r="O148" s="38">
        <f t="shared" si="12"/>
        <v>0</v>
      </c>
      <c r="P148" s="38"/>
      <c r="Q148" s="38"/>
      <c r="R148" s="38"/>
      <c r="S148" s="38"/>
      <c r="T148" s="38"/>
      <c r="U148" s="38">
        <f t="shared" si="13"/>
        <v>0</v>
      </c>
      <c r="V148" s="39"/>
      <c r="W148" s="39"/>
      <c r="X148" s="39"/>
      <c r="Y148" s="39"/>
      <c r="Z148" s="39"/>
      <c r="AA148" s="39"/>
      <c r="AB148" s="39"/>
      <c r="AC148" s="40"/>
    </row>
    <row r="149" spans="1:29" ht="18" customHeight="1" x14ac:dyDescent="0.3">
      <c r="A149" s="45">
        <v>145</v>
      </c>
      <c r="B149" s="41" t="str">
        <f>IF(E149&lt;&gt;"",INDEX(Datos!D:D,MATCH(TH!E149,Datos!A:A,0)),"")</f>
        <v/>
      </c>
      <c r="C149" s="41" t="str">
        <f>IF(E149&lt;&gt;"",INDEX(Datos!C:C,MATCH(TH!E149,Datos!A:A,0)),"")</f>
        <v/>
      </c>
      <c r="D149" s="23" t="str">
        <f>IF(E149&lt;&gt;"",INDEX(Datos!B:B,MATCH(TH!E149,Datos!A:A,0)),"")</f>
        <v/>
      </c>
      <c r="E149"/>
      <c r="F149" s="35"/>
      <c r="G149" s="36">
        <v>2026</v>
      </c>
      <c r="H149" s="37">
        <v>9</v>
      </c>
      <c r="I149" s="52"/>
      <c r="J149" s="52" t="s">
        <v>528</v>
      </c>
      <c r="K149" s="53">
        <v>46154</v>
      </c>
      <c r="L149" s="34" t="s">
        <v>7</v>
      </c>
      <c r="M149" s="38"/>
      <c r="N149" s="38"/>
      <c r="O149" s="38">
        <f t="shared" si="12"/>
        <v>0</v>
      </c>
      <c r="P149" s="38"/>
      <c r="Q149" s="38"/>
      <c r="R149" s="38"/>
      <c r="S149" s="38"/>
      <c r="T149" s="38"/>
      <c r="U149" s="38">
        <f t="shared" si="13"/>
        <v>0</v>
      </c>
      <c r="V149" s="39"/>
      <c r="W149" s="39"/>
      <c r="X149" s="39"/>
      <c r="Y149" s="39"/>
      <c r="Z149" s="39"/>
      <c r="AA149" s="39"/>
      <c r="AB149" s="39"/>
      <c r="AC149" s="40"/>
    </row>
    <row r="150" spans="1:29" ht="18" customHeight="1" x14ac:dyDescent="0.3">
      <c r="A150" s="44">
        <v>146</v>
      </c>
      <c r="B150" s="41" t="str">
        <f>IF(E150&lt;&gt;"",INDEX(Datos!D:D,MATCH(TH!E150,Datos!A:A,0)),"")</f>
        <v/>
      </c>
      <c r="C150" s="41" t="str">
        <f>IF(E150&lt;&gt;"",INDEX(Datos!C:C,MATCH(TH!E150,Datos!A:A,0)),"")</f>
        <v/>
      </c>
      <c r="D150" s="23" t="str">
        <f>IF(E150&lt;&gt;"",INDEX(Datos!B:B,MATCH(TH!E150,Datos!A:A,0)),"")</f>
        <v/>
      </c>
      <c r="E150"/>
      <c r="F150" s="35"/>
      <c r="G150" s="36">
        <v>2026</v>
      </c>
      <c r="H150" s="37">
        <v>9</v>
      </c>
      <c r="I150" s="62"/>
      <c r="J150" s="52" t="s">
        <v>528</v>
      </c>
      <c r="K150" s="53">
        <v>46154</v>
      </c>
      <c r="L150" s="34" t="s">
        <v>7</v>
      </c>
      <c r="M150" s="38"/>
      <c r="N150" s="38"/>
      <c r="O150" s="38">
        <f t="shared" si="12"/>
        <v>0</v>
      </c>
      <c r="P150" s="38"/>
      <c r="Q150" s="38"/>
      <c r="R150" s="38"/>
      <c r="S150" s="38"/>
      <c r="T150" s="38"/>
      <c r="U150" s="38">
        <f t="shared" si="13"/>
        <v>0</v>
      </c>
      <c r="V150" s="39"/>
      <c r="W150" s="39"/>
      <c r="X150" s="39"/>
      <c r="Y150" s="39"/>
      <c r="Z150" s="39"/>
      <c r="AA150" s="39"/>
      <c r="AB150" s="39"/>
      <c r="AC150" s="40"/>
    </row>
    <row r="151" spans="1:29" ht="18" customHeight="1" x14ac:dyDescent="0.3">
      <c r="A151" s="45">
        <v>147</v>
      </c>
      <c r="B151" s="41" t="str">
        <f>IF(E151&lt;&gt;"",INDEX(Datos!D:D,MATCH(TH!E151,Datos!A:A,0)),"")</f>
        <v/>
      </c>
      <c r="C151" s="41" t="str">
        <f>IF(E151&lt;&gt;"",INDEX(Datos!C:C,MATCH(TH!E151,Datos!A:A,0)),"")</f>
        <v/>
      </c>
      <c r="D151" s="23" t="str">
        <f>IF(E151&lt;&gt;"",INDEX(Datos!B:B,MATCH(TH!E151,Datos!A:A,0)),"")</f>
        <v/>
      </c>
      <c r="E151"/>
      <c r="F151" s="35"/>
      <c r="G151" s="36">
        <v>2026</v>
      </c>
      <c r="H151" s="37">
        <v>9</v>
      </c>
      <c r="I151" s="62"/>
      <c r="J151" s="52" t="s">
        <v>528</v>
      </c>
      <c r="K151" s="53">
        <v>46154</v>
      </c>
      <c r="L151" s="34" t="s">
        <v>7</v>
      </c>
      <c r="M151" s="38"/>
      <c r="N151" s="38"/>
      <c r="O151" s="38">
        <f t="shared" si="12"/>
        <v>0</v>
      </c>
      <c r="P151" s="38"/>
      <c r="Q151" s="38"/>
      <c r="R151" s="38"/>
      <c r="S151" s="38"/>
      <c r="T151" s="38"/>
      <c r="U151" s="38">
        <f t="shared" si="13"/>
        <v>0</v>
      </c>
      <c r="V151" s="39"/>
      <c r="W151" s="39"/>
      <c r="X151" s="39"/>
      <c r="Y151" s="39"/>
      <c r="Z151" s="39"/>
      <c r="AA151" s="39"/>
      <c r="AB151" s="39"/>
      <c r="AC151" s="40"/>
    </row>
    <row r="152" spans="1:29" ht="18" customHeight="1" x14ac:dyDescent="0.3">
      <c r="A152" s="45">
        <v>148</v>
      </c>
      <c r="B152" s="41" t="str">
        <f>IF(E152&lt;&gt;"",INDEX(Datos!D:D,MATCH(TH!E152,Datos!A:A,0)),"")</f>
        <v/>
      </c>
      <c r="C152" s="41" t="str">
        <f>IF(E152&lt;&gt;"",INDEX(Datos!C:C,MATCH(TH!E152,Datos!A:A,0)),"")</f>
        <v/>
      </c>
      <c r="D152" s="23" t="str">
        <f>IF(E152&lt;&gt;"",INDEX(Datos!B:B,MATCH(TH!E152,Datos!A:A,0)),"")</f>
        <v/>
      </c>
      <c r="E152" s="68"/>
      <c r="F152" s="35"/>
      <c r="G152" s="36">
        <v>2026</v>
      </c>
      <c r="H152" s="37">
        <v>9</v>
      </c>
      <c r="I152" s="62"/>
      <c r="J152" s="52" t="s">
        <v>528</v>
      </c>
      <c r="K152" s="53">
        <v>46154</v>
      </c>
      <c r="L152" s="34" t="s">
        <v>7</v>
      </c>
      <c r="M152" s="38"/>
      <c r="N152" s="38"/>
      <c r="O152" s="38">
        <f t="shared" si="12"/>
        <v>0</v>
      </c>
      <c r="P152" s="38"/>
      <c r="Q152" s="38"/>
      <c r="R152" s="38"/>
      <c r="S152" s="38"/>
      <c r="T152" s="38"/>
      <c r="U152" s="38">
        <f t="shared" si="13"/>
        <v>0</v>
      </c>
      <c r="V152" s="39"/>
      <c r="W152" s="39"/>
      <c r="X152" s="39"/>
      <c r="Y152" s="39"/>
      <c r="Z152" s="39"/>
      <c r="AA152" s="39"/>
      <c r="AB152" s="39"/>
      <c r="AC152" s="40"/>
    </row>
    <row r="153" spans="1:29" ht="18" customHeight="1" x14ac:dyDescent="0.3">
      <c r="A153" s="44">
        <v>149</v>
      </c>
      <c r="B153" s="41" t="str">
        <f>IF(E153&lt;&gt;"",INDEX(Datos!D:D,MATCH(TH!E153,Datos!A:A,0)),"")</f>
        <v/>
      </c>
      <c r="C153" s="41" t="str">
        <f>IF(E153&lt;&gt;"",INDEX(Datos!C:C,MATCH(TH!E153,Datos!A:A,0)),"")</f>
        <v/>
      </c>
      <c r="D153" s="23" t="str">
        <f>IF(E153&lt;&gt;"",INDEX(Datos!B:B,MATCH(TH!E153,Datos!A:A,0)),"")</f>
        <v/>
      </c>
      <c r="E153" s="68"/>
      <c r="F153" s="35"/>
      <c r="G153" s="36">
        <v>2026</v>
      </c>
      <c r="H153" s="37">
        <v>9</v>
      </c>
      <c r="I153" s="62"/>
      <c r="J153" s="52" t="s">
        <v>528</v>
      </c>
      <c r="K153" s="53">
        <v>46154</v>
      </c>
      <c r="L153" s="34" t="s">
        <v>7</v>
      </c>
      <c r="M153" s="38"/>
      <c r="N153" s="38"/>
      <c r="O153" s="38">
        <f t="shared" si="12"/>
        <v>0</v>
      </c>
      <c r="P153" s="38"/>
      <c r="Q153" s="38"/>
      <c r="R153" s="38"/>
      <c r="S153" s="38"/>
      <c r="T153" s="38"/>
      <c r="U153" s="38">
        <f t="shared" si="13"/>
        <v>0</v>
      </c>
      <c r="V153" s="39"/>
      <c r="W153" s="39"/>
      <c r="X153" s="39"/>
      <c r="Y153" s="39"/>
      <c r="Z153" s="39"/>
      <c r="AA153" s="39"/>
      <c r="AB153" s="39"/>
      <c r="AC153" s="40"/>
    </row>
    <row r="154" spans="1:29" ht="18" customHeight="1" x14ac:dyDescent="0.3">
      <c r="A154" s="44">
        <v>150</v>
      </c>
      <c r="B154" s="41" t="str">
        <f>IF(E154&lt;&gt;"",INDEX(Datos!D:D,MATCH(TH!E154,Datos!A:A,0)),"")</f>
        <v/>
      </c>
      <c r="C154" s="41" t="str">
        <f>IF(E154&lt;&gt;"",INDEX(Datos!C:C,MATCH(TH!E154,Datos!A:A,0)),"")</f>
        <v/>
      </c>
      <c r="D154" s="23" t="str">
        <f>IF(E154&lt;&gt;"",INDEX(Datos!B:B,MATCH(TH!E154,Datos!A:A,0)),"")</f>
        <v/>
      </c>
      <c r="E154" s="68"/>
      <c r="F154" s="35"/>
      <c r="G154" s="36">
        <v>2026</v>
      </c>
      <c r="H154" s="37">
        <v>9</v>
      </c>
      <c r="I154" s="62"/>
      <c r="J154" s="52" t="s">
        <v>528</v>
      </c>
      <c r="K154" s="53">
        <v>46154</v>
      </c>
      <c r="L154" s="34" t="s">
        <v>7</v>
      </c>
      <c r="M154" s="38"/>
      <c r="N154" s="38"/>
      <c r="O154" s="38">
        <f t="shared" si="12"/>
        <v>0</v>
      </c>
      <c r="P154" s="38"/>
      <c r="Q154" s="38"/>
      <c r="R154" s="38"/>
      <c r="S154" s="38"/>
      <c r="T154" s="38"/>
      <c r="U154" s="38">
        <f t="shared" si="13"/>
        <v>0</v>
      </c>
      <c r="V154" s="39"/>
      <c r="W154" s="39"/>
      <c r="X154" s="39"/>
      <c r="Y154" s="39"/>
      <c r="Z154" s="39"/>
      <c r="AA154" s="39"/>
      <c r="AB154" s="39"/>
      <c r="AC154" s="40"/>
    </row>
    <row r="155" spans="1:29" ht="18" customHeight="1" x14ac:dyDescent="0.3">
      <c r="A155" s="45">
        <v>151</v>
      </c>
      <c r="B155" s="41" t="str">
        <f>IF(E155&lt;&gt;"",INDEX(Datos!D:D,MATCH(TH!E155,Datos!A:A,0)),"")</f>
        <v/>
      </c>
      <c r="C155" s="41" t="str">
        <f>IF(E155&lt;&gt;"",INDEX(Datos!C:C,MATCH(TH!E155,Datos!A:A,0)),"")</f>
        <v/>
      </c>
      <c r="D155" s="23" t="str">
        <f>IF(E155&lt;&gt;"",INDEX(Datos!B:B,MATCH(TH!E155,Datos!A:A,0)),"")</f>
        <v/>
      </c>
      <c r="E155" s="68"/>
      <c r="F155" s="35"/>
      <c r="G155" s="36">
        <v>2026</v>
      </c>
      <c r="H155" s="37">
        <v>9</v>
      </c>
      <c r="I155" s="62"/>
      <c r="J155" s="52" t="s">
        <v>528</v>
      </c>
      <c r="K155" s="53">
        <v>46154</v>
      </c>
      <c r="L155" s="34" t="s">
        <v>7</v>
      </c>
      <c r="M155" s="38"/>
      <c r="N155" s="38"/>
      <c r="O155" s="38">
        <f t="shared" si="12"/>
        <v>0</v>
      </c>
      <c r="P155" s="38"/>
      <c r="Q155" s="38"/>
      <c r="R155" s="38"/>
      <c r="S155" s="38"/>
      <c r="T155" s="38"/>
      <c r="U155" s="38">
        <f t="shared" si="13"/>
        <v>0</v>
      </c>
      <c r="V155" s="39"/>
      <c r="W155" s="39"/>
      <c r="X155" s="39"/>
      <c r="Y155" s="39"/>
      <c r="Z155" s="39"/>
      <c r="AA155" s="39"/>
      <c r="AB155" s="39"/>
      <c r="AC155" s="40"/>
    </row>
    <row r="156" spans="1:29" ht="17.25" customHeight="1" x14ac:dyDescent="0.3">
      <c r="A156" s="44">
        <v>152</v>
      </c>
      <c r="B156" s="41" t="str">
        <f>IF(E156&lt;&gt;"",INDEX(Datos!D:D,MATCH(TH!E156,Datos!A:A,0)),"")</f>
        <v/>
      </c>
      <c r="C156" s="41" t="str">
        <f>IF(E156&lt;&gt;"",INDEX(Datos!C:C,MATCH(TH!E156,Datos!A:A,0)),"")</f>
        <v/>
      </c>
      <c r="D156" s="23" t="str">
        <f>IF(E156&lt;&gt;"",INDEX(Datos!B:B,MATCH(TH!E156,Datos!A:A,0)),"")</f>
        <v/>
      </c>
      <c r="E156" s="68"/>
      <c r="F156" s="35"/>
      <c r="G156" s="36">
        <v>2026</v>
      </c>
      <c r="H156" s="37">
        <v>9</v>
      </c>
      <c r="I156" s="62"/>
      <c r="J156" s="52" t="s">
        <v>528</v>
      </c>
      <c r="K156" s="53">
        <v>46154</v>
      </c>
      <c r="L156" s="34" t="s">
        <v>7</v>
      </c>
      <c r="M156" s="38"/>
      <c r="N156" s="38"/>
      <c r="O156" s="38">
        <f t="shared" si="12"/>
        <v>0</v>
      </c>
      <c r="P156" s="38"/>
      <c r="Q156" s="38"/>
      <c r="R156" s="38"/>
      <c r="S156" s="38"/>
      <c r="T156" s="38"/>
      <c r="U156" s="38">
        <f t="shared" si="13"/>
        <v>0</v>
      </c>
      <c r="V156" s="39"/>
      <c r="W156" s="39"/>
      <c r="X156" s="39"/>
      <c r="Y156" s="39"/>
      <c r="Z156" s="39"/>
      <c r="AA156" s="39"/>
      <c r="AB156" s="39"/>
      <c r="AC156" s="40"/>
    </row>
    <row r="157" spans="1:29" ht="18.75" customHeight="1" x14ac:dyDescent="0.3">
      <c r="A157" s="45">
        <v>153</v>
      </c>
      <c r="B157" s="41" t="str">
        <f>IF(E157&lt;&gt;"",INDEX(Datos!D:D,MATCH(TH!E157,Datos!A:A,0)),"")</f>
        <v/>
      </c>
      <c r="C157" s="41" t="str">
        <f>IF(E157&lt;&gt;"",INDEX(Datos!C:C,MATCH(TH!E157,Datos!A:A,0)),"")</f>
        <v/>
      </c>
      <c r="D157" s="23" t="str">
        <f>IF(E157&lt;&gt;"",INDEX(Datos!B:B,MATCH(TH!E157,Datos!A:A,0)),"")</f>
        <v/>
      </c>
      <c r="E157" s="68"/>
      <c r="F157" s="35"/>
      <c r="G157" s="36">
        <v>2026</v>
      </c>
      <c r="H157" s="37">
        <v>9</v>
      </c>
      <c r="I157" s="62"/>
      <c r="J157" s="52" t="s">
        <v>528</v>
      </c>
      <c r="K157" s="53">
        <v>46154</v>
      </c>
      <c r="L157" s="34" t="s">
        <v>7</v>
      </c>
      <c r="M157" s="38"/>
      <c r="N157" s="38"/>
      <c r="O157" s="38">
        <f t="shared" si="12"/>
        <v>0</v>
      </c>
      <c r="P157" s="38"/>
      <c r="Q157" s="38"/>
      <c r="R157" s="38"/>
      <c r="S157" s="38"/>
      <c r="T157" s="38"/>
      <c r="U157" s="38">
        <f t="shared" si="13"/>
        <v>0</v>
      </c>
      <c r="V157" s="39"/>
      <c r="W157" s="39"/>
      <c r="X157" s="39"/>
      <c r="Y157" s="39"/>
      <c r="Z157" s="39"/>
      <c r="AA157" s="39"/>
      <c r="AB157" s="39"/>
      <c r="AC157" s="40"/>
    </row>
    <row r="158" spans="1:29" ht="18.75" customHeight="1" x14ac:dyDescent="0.3">
      <c r="A158" s="45">
        <v>154</v>
      </c>
      <c r="B158" s="41" t="str">
        <f>IF(E158&lt;&gt;"",INDEX(Datos!D:D,MATCH(TH!E158,Datos!A:A,0)),"")</f>
        <v/>
      </c>
      <c r="C158" s="41" t="str">
        <f>IF(E158&lt;&gt;"",INDEX(Datos!C:C,MATCH(TH!E158,Datos!A:A,0)),"")</f>
        <v/>
      </c>
      <c r="D158" s="23" t="str">
        <f>IF(E158&lt;&gt;"",INDEX(Datos!B:B,MATCH(TH!E158,Datos!A:A,0)),"")</f>
        <v/>
      </c>
      <c r="E158"/>
      <c r="F158" s="35"/>
      <c r="G158" s="36">
        <v>2026</v>
      </c>
      <c r="H158" s="37">
        <v>9</v>
      </c>
      <c r="I158" s="62"/>
      <c r="J158" s="52" t="s">
        <v>528</v>
      </c>
      <c r="K158" s="53">
        <v>46154</v>
      </c>
      <c r="L158" s="34" t="s">
        <v>7</v>
      </c>
      <c r="M158" s="38"/>
      <c r="N158" s="38"/>
      <c r="O158" s="38">
        <f t="shared" si="12"/>
        <v>0</v>
      </c>
      <c r="P158" s="38"/>
      <c r="Q158" s="38"/>
      <c r="R158" s="38"/>
      <c r="S158" s="38"/>
      <c r="T158" s="38"/>
      <c r="U158" s="38">
        <f t="shared" si="13"/>
        <v>0</v>
      </c>
      <c r="V158" s="39"/>
      <c r="W158" s="39"/>
      <c r="X158" s="39"/>
      <c r="Y158" s="39"/>
      <c r="Z158" s="39"/>
      <c r="AA158" s="39"/>
      <c r="AB158" s="39"/>
      <c r="AC158" s="40"/>
    </row>
    <row r="159" spans="1:29" ht="18" customHeight="1" x14ac:dyDescent="0.3">
      <c r="A159" s="44">
        <v>155</v>
      </c>
      <c r="B159" s="41" t="str">
        <f>IF(E159&lt;&gt;"",INDEX(Datos!D:D,MATCH(TH!E159,Datos!A:A,0)),"")</f>
        <v/>
      </c>
      <c r="C159" s="41" t="str">
        <f>IF(E159&lt;&gt;"",INDEX(Datos!C:C,MATCH(TH!E159,Datos!A:A,0)),"")</f>
        <v/>
      </c>
      <c r="D159" s="23" t="str">
        <f>IF(E159&lt;&gt;"",INDEX(Datos!B:B,MATCH(TH!E159,Datos!A:A,0)),"")</f>
        <v/>
      </c>
      <c r="E159" s="68"/>
      <c r="F159" s="35"/>
      <c r="G159" s="36">
        <v>2026</v>
      </c>
      <c r="H159" s="37">
        <v>9</v>
      </c>
      <c r="I159" s="62"/>
      <c r="J159" s="52" t="s">
        <v>528</v>
      </c>
      <c r="K159" s="53">
        <v>46154</v>
      </c>
      <c r="L159" s="34" t="s">
        <v>7</v>
      </c>
      <c r="M159" s="38"/>
      <c r="N159" s="38"/>
      <c r="O159" s="38">
        <f t="shared" si="12"/>
        <v>0</v>
      </c>
      <c r="P159" s="38"/>
      <c r="Q159" s="38"/>
      <c r="R159" s="38"/>
      <c r="S159" s="38"/>
      <c r="T159" s="38"/>
      <c r="U159" s="38">
        <f t="shared" si="13"/>
        <v>0</v>
      </c>
      <c r="V159" s="39"/>
      <c r="W159" s="39"/>
      <c r="X159" s="39"/>
      <c r="Y159" s="39"/>
      <c r="Z159" s="39"/>
      <c r="AA159" s="39"/>
      <c r="AB159" s="39"/>
      <c r="AC159" s="40"/>
    </row>
    <row r="160" spans="1:29" ht="18" customHeight="1" x14ac:dyDescent="0.3">
      <c r="A160" s="44">
        <v>156</v>
      </c>
      <c r="B160" s="41" t="str">
        <f>IF(E160&lt;&gt;"",INDEX(Datos!D:D,MATCH(TH!E160,Datos!A:A,0)),"")</f>
        <v/>
      </c>
      <c r="C160" s="41" t="str">
        <f>IF(E160&lt;&gt;"",INDEX(Datos!C:C,MATCH(TH!E160,Datos!A:A,0)),"")</f>
        <v/>
      </c>
      <c r="D160" s="23" t="str">
        <f>IF(E160&lt;&gt;"",INDEX(Datos!B:B,MATCH(TH!E160,Datos!A:A,0)),"")</f>
        <v/>
      </c>
      <c r="E160" s="68"/>
      <c r="F160" s="35"/>
      <c r="G160" s="36">
        <v>2026</v>
      </c>
      <c r="H160" s="37">
        <v>9</v>
      </c>
      <c r="I160" s="62"/>
      <c r="J160" s="52" t="s">
        <v>528</v>
      </c>
      <c r="K160" s="53">
        <v>46154</v>
      </c>
      <c r="L160" s="34" t="s">
        <v>7</v>
      </c>
      <c r="M160" s="38"/>
      <c r="N160" s="38"/>
      <c r="O160" s="38">
        <f t="shared" si="12"/>
        <v>0</v>
      </c>
      <c r="P160" s="38"/>
      <c r="Q160" s="38"/>
      <c r="R160" s="38"/>
      <c r="S160" s="38"/>
      <c r="T160" s="38"/>
      <c r="U160" s="38">
        <f t="shared" si="13"/>
        <v>0</v>
      </c>
      <c r="V160" s="39"/>
      <c r="W160" s="39"/>
      <c r="X160" s="39"/>
      <c r="Y160" s="39"/>
      <c r="Z160" s="39"/>
      <c r="AA160" s="39"/>
      <c r="AB160" s="39"/>
      <c r="AC160" s="40"/>
    </row>
    <row r="161" spans="1:29" ht="18" customHeight="1" x14ac:dyDescent="0.3">
      <c r="A161" s="45">
        <v>157</v>
      </c>
      <c r="B161" s="41" t="str">
        <f>IF(E161&lt;&gt;"",INDEX(Datos!D:D,MATCH(TH!E161,Datos!A:A,0)),"")</f>
        <v/>
      </c>
      <c r="C161" s="41" t="str">
        <f>IF(E161&lt;&gt;"",INDEX(Datos!C:C,MATCH(TH!E161,Datos!A:A,0)),"")</f>
        <v/>
      </c>
      <c r="D161" s="23" t="str">
        <f>IF(E161&lt;&gt;"",INDEX(Datos!B:B,MATCH(TH!E161,Datos!A:A,0)),"")</f>
        <v/>
      </c>
      <c r="E161"/>
      <c r="F161" s="35"/>
      <c r="G161" s="36">
        <v>2026</v>
      </c>
      <c r="H161" s="37">
        <v>9</v>
      </c>
      <c r="I161" s="62"/>
      <c r="J161" s="52" t="s">
        <v>528</v>
      </c>
      <c r="K161" s="53">
        <v>46154</v>
      </c>
      <c r="L161" s="34" t="s">
        <v>7</v>
      </c>
      <c r="M161" s="38"/>
      <c r="N161" s="38"/>
      <c r="O161" s="38">
        <f t="shared" si="12"/>
        <v>0</v>
      </c>
      <c r="P161" s="38"/>
      <c r="Q161" s="38"/>
      <c r="R161" s="38"/>
      <c r="S161" s="38"/>
      <c r="T161" s="38"/>
      <c r="U161" s="38">
        <f t="shared" si="13"/>
        <v>0</v>
      </c>
      <c r="V161" s="39"/>
      <c r="W161" s="39"/>
      <c r="X161" s="39"/>
      <c r="Y161" s="39"/>
      <c r="Z161" s="39"/>
      <c r="AA161" s="39"/>
      <c r="AB161" s="39"/>
      <c r="AC161" s="40"/>
    </row>
    <row r="162" spans="1:29" ht="18" customHeight="1" x14ac:dyDescent="0.3">
      <c r="A162" s="44">
        <v>158</v>
      </c>
      <c r="B162" s="41" t="str">
        <f>IF(E162&lt;&gt;"",INDEX(Datos!D:D,MATCH(TH!E162,Datos!A:A,0)),"")</f>
        <v/>
      </c>
      <c r="C162" s="41" t="str">
        <f>IF(E162&lt;&gt;"",INDEX(Datos!C:C,MATCH(TH!E162,Datos!A:A,0)),"")</f>
        <v/>
      </c>
      <c r="D162" s="23" t="str">
        <f>IF(E162&lt;&gt;"",INDEX(Datos!B:B,MATCH(TH!E162,Datos!A:A,0)),"")</f>
        <v/>
      </c>
      <c r="E162" s="68"/>
      <c r="F162" s="35"/>
      <c r="G162" s="36">
        <v>2026</v>
      </c>
      <c r="H162" s="37">
        <v>9</v>
      </c>
      <c r="I162" s="62"/>
      <c r="J162" s="52" t="s">
        <v>528</v>
      </c>
      <c r="K162" s="53">
        <v>46154</v>
      </c>
      <c r="L162" s="34" t="s">
        <v>7</v>
      </c>
      <c r="M162" s="38"/>
      <c r="N162" s="38"/>
      <c r="O162" s="38">
        <f t="shared" si="12"/>
        <v>0</v>
      </c>
      <c r="P162" s="38"/>
      <c r="Q162" s="38"/>
      <c r="R162" s="38"/>
      <c r="S162" s="38"/>
      <c r="T162" s="38"/>
      <c r="U162" s="38">
        <f t="shared" si="13"/>
        <v>0</v>
      </c>
      <c r="V162" s="39"/>
      <c r="W162" s="39"/>
      <c r="X162" s="39"/>
      <c r="Y162" s="39"/>
      <c r="Z162" s="39"/>
      <c r="AA162" s="39"/>
      <c r="AB162" s="39"/>
      <c r="AC162" s="40"/>
    </row>
    <row r="163" spans="1:29" ht="18" customHeight="1" x14ac:dyDescent="0.3">
      <c r="A163" s="45">
        <v>159</v>
      </c>
      <c r="B163" s="41" t="str">
        <f>IF(E163&lt;&gt;"",INDEX(Datos!D:D,MATCH(TH!E163,Datos!A:A,0)),"")</f>
        <v/>
      </c>
      <c r="C163" s="41" t="str">
        <f>IF(E163&lt;&gt;"",INDEX(Datos!C:C,MATCH(TH!E163,Datos!A:A,0)),"")</f>
        <v/>
      </c>
      <c r="D163" s="23" t="str">
        <f>IF(E163&lt;&gt;"",INDEX(Datos!B:B,MATCH(TH!E163,Datos!A:A,0)),"")</f>
        <v/>
      </c>
      <c r="E163" s="68"/>
      <c r="F163" s="35"/>
      <c r="G163" s="36">
        <v>2026</v>
      </c>
      <c r="H163" s="37">
        <v>9</v>
      </c>
      <c r="I163" s="62"/>
      <c r="J163" s="52" t="s">
        <v>528</v>
      </c>
      <c r="K163" s="53">
        <v>46154</v>
      </c>
      <c r="L163" s="34" t="s">
        <v>7</v>
      </c>
      <c r="M163" s="38"/>
      <c r="N163" s="38"/>
      <c r="O163" s="38">
        <f t="shared" si="12"/>
        <v>0</v>
      </c>
      <c r="P163" s="38"/>
      <c r="Q163" s="38"/>
      <c r="R163" s="38"/>
      <c r="S163" s="38"/>
      <c r="T163" s="38"/>
      <c r="U163" s="38">
        <f t="shared" si="13"/>
        <v>0</v>
      </c>
      <c r="V163" s="39"/>
      <c r="W163" s="39"/>
      <c r="X163" s="39"/>
      <c r="Y163" s="39"/>
      <c r="Z163" s="39"/>
      <c r="AA163" s="39"/>
      <c r="AB163" s="39"/>
      <c r="AC163" s="40"/>
    </row>
    <row r="164" spans="1:29" ht="18" customHeight="1" x14ac:dyDescent="0.3">
      <c r="A164" s="45">
        <v>160</v>
      </c>
      <c r="B164" s="41" t="str">
        <f>IF(E164&lt;&gt;"",INDEX(Datos!D:D,MATCH(TH!E164,Datos!A:A,0)),"")</f>
        <v/>
      </c>
      <c r="C164" s="41" t="str">
        <f>IF(E164&lt;&gt;"",INDEX(Datos!C:C,MATCH(TH!E164,Datos!A:A,0)),"")</f>
        <v/>
      </c>
      <c r="D164" s="23" t="str">
        <f>IF(E164&lt;&gt;"",INDEX(Datos!B:B,MATCH(TH!E164,Datos!A:A,0)),"")</f>
        <v/>
      </c>
      <c r="E164" s="68"/>
      <c r="F164" s="35"/>
      <c r="G164" s="36">
        <v>2026</v>
      </c>
      <c r="H164" s="37">
        <v>9</v>
      </c>
      <c r="I164" s="62"/>
      <c r="J164" s="52" t="s">
        <v>528</v>
      </c>
      <c r="K164" s="53">
        <v>46154</v>
      </c>
      <c r="L164" s="34" t="s">
        <v>7</v>
      </c>
      <c r="M164" s="38"/>
      <c r="N164" s="38"/>
      <c r="O164" s="38">
        <f t="shared" si="12"/>
        <v>0</v>
      </c>
      <c r="P164" s="38"/>
      <c r="Q164" s="38"/>
      <c r="R164" s="38"/>
      <c r="S164" s="38"/>
      <c r="T164" s="38"/>
      <c r="U164" s="38">
        <f t="shared" si="13"/>
        <v>0</v>
      </c>
      <c r="V164" s="39"/>
      <c r="W164" s="39"/>
      <c r="X164" s="39"/>
      <c r="Y164" s="39"/>
      <c r="Z164" s="39"/>
      <c r="AA164" s="39"/>
      <c r="AB164" s="39"/>
      <c r="AC164" s="40"/>
    </row>
    <row r="165" spans="1:29" ht="18" customHeight="1" x14ac:dyDescent="0.3">
      <c r="A165" s="44">
        <v>161</v>
      </c>
      <c r="B165" s="41" t="str">
        <f>IF(E165&lt;&gt;"",INDEX(Datos!D:D,MATCH(TH!E165,Datos!A:A,0)),"")</f>
        <v/>
      </c>
      <c r="C165" s="41" t="str">
        <f>IF(E165&lt;&gt;"",INDEX(Datos!C:C,MATCH(TH!E165,Datos!A:A,0)),"")</f>
        <v/>
      </c>
      <c r="D165" s="23" t="str">
        <f>IF(E165&lt;&gt;"",INDEX(Datos!B:B,MATCH(TH!E165,Datos!A:A,0)),"")</f>
        <v/>
      </c>
      <c r="E165"/>
      <c r="F165" s="35"/>
      <c r="G165" s="36">
        <v>2026</v>
      </c>
      <c r="H165" s="37">
        <v>9</v>
      </c>
      <c r="I165" s="62"/>
      <c r="J165" s="52" t="s">
        <v>528</v>
      </c>
      <c r="K165" s="53">
        <v>46154</v>
      </c>
      <c r="L165" s="34" t="s">
        <v>7</v>
      </c>
      <c r="M165" s="38"/>
      <c r="N165" s="38"/>
      <c r="O165" s="38">
        <f t="shared" si="12"/>
        <v>0</v>
      </c>
      <c r="P165" s="38"/>
      <c r="Q165" s="38"/>
      <c r="R165" s="38"/>
      <c r="S165" s="38"/>
      <c r="T165" s="38"/>
      <c r="U165" s="38">
        <f t="shared" si="13"/>
        <v>0</v>
      </c>
      <c r="V165" s="39"/>
      <c r="W165" s="39"/>
      <c r="X165" s="39"/>
      <c r="Y165" s="39"/>
      <c r="Z165" s="39"/>
      <c r="AA165" s="39"/>
      <c r="AB165" s="39"/>
      <c r="AC165" s="40"/>
    </row>
    <row r="166" spans="1:29" ht="18" customHeight="1" x14ac:dyDescent="0.3">
      <c r="A166" s="44">
        <v>162</v>
      </c>
      <c r="B166" s="41" t="str">
        <f>IF(E166&lt;&gt;"",INDEX(Datos!D:D,MATCH(TH!E166,Datos!A:A,0)),"")</f>
        <v/>
      </c>
      <c r="C166" s="41" t="str">
        <f>IF(E166&lt;&gt;"",INDEX(Datos!C:C,MATCH(TH!E166,Datos!A:A,0)),"")</f>
        <v/>
      </c>
      <c r="D166" s="23" t="str">
        <f>IF(E166&lt;&gt;"",INDEX(Datos!B:B,MATCH(TH!E166,Datos!A:A,0)),"")</f>
        <v/>
      </c>
      <c r="E166"/>
      <c r="F166" s="35"/>
      <c r="G166" s="36">
        <v>2026</v>
      </c>
      <c r="H166" s="37">
        <v>9</v>
      </c>
      <c r="I166" s="62"/>
      <c r="J166" s="52" t="s">
        <v>528</v>
      </c>
      <c r="K166" s="53">
        <v>46154</v>
      </c>
      <c r="L166" s="34" t="s">
        <v>7</v>
      </c>
      <c r="M166" s="38"/>
      <c r="N166" s="38"/>
      <c r="O166" s="38">
        <f t="shared" si="12"/>
        <v>0</v>
      </c>
      <c r="P166" s="38"/>
      <c r="Q166" s="38"/>
      <c r="R166" s="38"/>
      <c r="S166" s="38"/>
      <c r="T166" s="38"/>
      <c r="U166" s="38">
        <f t="shared" si="13"/>
        <v>0</v>
      </c>
      <c r="V166" s="39"/>
      <c r="W166" s="39"/>
      <c r="X166" s="39"/>
      <c r="Y166" s="39"/>
      <c r="Z166" s="39"/>
      <c r="AA166" s="39"/>
      <c r="AB166" s="39"/>
      <c r="AC166" s="40"/>
    </row>
    <row r="167" spans="1:29" ht="18" customHeight="1" x14ac:dyDescent="0.3">
      <c r="A167" s="45">
        <v>163</v>
      </c>
      <c r="B167" s="41" t="str">
        <f>IF(E167&lt;&gt;"",INDEX(Datos!D:D,MATCH(TH!E167,Datos!A:A,0)),"")</f>
        <v/>
      </c>
      <c r="C167" s="41" t="str">
        <f>IF(E167&lt;&gt;"",INDEX(Datos!C:C,MATCH(TH!E167,Datos!A:A,0)),"")</f>
        <v/>
      </c>
      <c r="D167" s="23" t="str">
        <f>IF(E167&lt;&gt;"",INDEX(Datos!B:B,MATCH(TH!E167,Datos!A:A,0)),"")</f>
        <v/>
      </c>
      <c r="E167"/>
      <c r="F167" s="35"/>
      <c r="G167" s="36">
        <v>2026</v>
      </c>
      <c r="H167" s="37">
        <v>9</v>
      </c>
      <c r="I167" s="62"/>
      <c r="J167" s="52" t="s">
        <v>528</v>
      </c>
      <c r="K167" s="53">
        <v>46154</v>
      </c>
      <c r="L167" s="34" t="s">
        <v>7</v>
      </c>
      <c r="M167" s="38"/>
      <c r="N167" s="38"/>
      <c r="O167" s="38">
        <f t="shared" si="12"/>
        <v>0</v>
      </c>
      <c r="P167" s="38"/>
      <c r="Q167" s="38"/>
      <c r="R167" s="38"/>
      <c r="S167" s="38"/>
      <c r="T167" s="38"/>
      <c r="U167" s="38">
        <f t="shared" si="13"/>
        <v>0</v>
      </c>
      <c r="V167" s="39"/>
      <c r="W167" s="39"/>
      <c r="X167" s="39"/>
      <c r="Y167" s="39"/>
      <c r="Z167" s="39"/>
      <c r="AA167" s="39"/>
      <c r="AB167" s="39"/>
      <c r="AC167" s="40"/>
    </row>
    <row r="168" spans="1:29" ht="18" customHeight="1" x14ac:dyDescent="0.3">
      <c r="A168" s="44">
        <v>164</v>
      </c>
      <c r="B168" s="41" t="str">
        <f>IF(E168&lt;&gt;"",INDEX(Datos!D:D,MATCH(TH!E168,Datos!A:A,0)),"")</f>
        <v/>
      </c>
      <c r="C168" s="41" t="str">
        <f>IF(E168&lt;&gt;"",INDEX(Datos!C:C,MATCH(TH!E168,Datos!A:A,0)),"")</f>
        <v/>
      </c>
      <c r="D168" s="23" t="str">
        <f>IF(E168&lt;&gt;"",INDEX(Datos!B:B,MATCH(TH!E168,Datos!A:A,0)),"")</f>
        <v/>
      </c>
      <c r="E168"/>
      <c r="F168" s="35"/>
      <c r="G168" s="36">
        <v>2026</v>
      </c>
      <c r="H168" s="37">
        <v>9</v>
      </c>
      <c r="I168" s="62"/>
      <c r="J168" s="52" t="s">
        <v>528</v>
      </c>
      <c r="K168" s="53">
        <v>46154</v>
      </c>
      <c r="L168" s="34" t="s">
        <v>7</v>
      </c>
      <c r="M168" s="38"/>
      <c r="N168" s="38"/>
      <c r="O168" s="38">
        <f t="shared" si="12"/>
        <v>0</v>
      </c>
      <c r="P168" s="38"/>
      <c r="Q168" s="38"/>
      <c r="R168" s="38"/>
      <c r="S168" s="38"/>
      <c r="T168" s="38"/>
      <c r="U168" s="38">
        <f t="shared" si="13"/>
        <v>0</v>
      </c>
      <c r="V168" s="39"/>
      <c r="W168" s="39"/>
      <c r="X168" s="39"/>
      <c r="Y168" s="39"/>
      <c r="Z168" s="39"/>
      <c r="AA168" s="39"/>
      <c r="AB168" s="39"/>
      <c r="AC168" s="40"/>
    </row>
    <row r="169" spans="1:29" ht="18" customHeight="1" x14ac:dyDescent="0.3">
      <c r="A169" s="45">
        <v>165</v>
      </c>
      <c r="B169" s="41" t="str">
        <f>IF(E169&lt;&gt;"",INDEX(Datos!D:D,MATCH(TH!E169,Datos!A:A,0)),"")</f>
        <v/>
      </c>
      <c r="C169" s="41" t="str">
        <f>IF(E169&lt;&gt;"",INDEX(Datos!C:C,MATCH(TH!E169,Datos!A:A,0)),"")</f>
        <v/>
      </c>
      <c r="D169" s="23" t="str">
        <f>IF(E169&lt;&gt;"",INDEX(Datos!B:B,MATCH(TH!E169,Datos!A:A,0)),"")</f>
        <v/>
      </c>
      <c r="E169"/>
      <c r="F169" s="35"/>
      <c r="G169" s="36">
        <v>2026</v>
      </c>
      <c r="H169" s="37">
        <v>9</v>
      </c>
      <c r="I169" s="62"/>
      <c r="J169" s="52" t="s">
        <v>528</v>
      </c>
      <c r="K169" s="53">
        <v>46154</v>
      </c>
      <c r="L169" s="34" t="s">
        <v>7</v>
      </c>
      <c r="M169" s="38"/>
      <c r="N169" s="38"/>
      <c r="O169" s="38">
        <f t="shared" si="12"/>
        <v>0</v>
      </c>
      <c r="P169" s="38"/>
      <c r="Q169" s="38"/>
      <c r="R169" s="38"/>
      <c r="S169" s="38"/>
      <c r="T169" s="38"/>
      <c r="U169" s="38">
        <f t="shared" si="13"/>
        <v>0</v>
      </c>
      <c r="V169" s="39"/>
      <c r="W169" s="39"/>
      <c r="X169" s="39"/>
      <c r="Y169" s="39"/>
      <c r="Z169" s="39"/>
      <c r="AA169" s="39"/>
      <c r="AB169" s="39"/>
      <c r="AC169" s="40"/>
    </row>
    <row r="170" spans="1:29" ht="18" customHeight="1" x14ac:dyDescent="0.3">
      <c r="A170" s="45">
        <v>166</v>
      </c>
      <c r="B170" s="41" t="str">
        <f>IF(E170&lt;&gt;"",INDEX(Datos!D:D,MATCH(TH!E170,Datos!A:A,0)),"")</f>
        <v/>
      </c>
      <c r="C170" s="41" t="str">
        <f>IF(E170&lt;&gt;"",INDEX(Datos!C:C,MATCH(TH!E170,Datos!A:A,0)),"")</f>
        <v/>
      </c>
      <c r="D170" s="23" t="str">
        <f>IF(E170&lt;&gt;"",INDEX(Datos!B:B,MATCH(TH!E170,Datos!A:A,0)),"")</f>
        <v/>
      </c>
      <c r="E170"/>
      <c r="F170" s="35"/>
      <c r="G170" s="36">
        <v>2026</v>
      </c>
      <c r="H170" s="37">
        <v>9</v>
      </c>
      <c r="I170" s="62"/>
      <c r="J170" s="52" t="s">
        <v>528</v>
      </c>
      <c r="K170" s="53">
        <v>46154</v>
      </c>
      <c r="L170" s="34" t="s">
        <v>7</v>
      </c>
      <c r="M170" s="38"/>
      <c r="N170" s="38"/>
      <c r="O170" s="38">
        <f t="shared" si="12"/>
        <v>0</v>
      </c>
      <c r="P170" s="38"/>
      <c r="Q170" s="38"/>
      <c r="R170" s="38"/>
      <c r="S170" s="38"/>
      <c r="T170" s="38"/>
      <c r="U170" s="38">
        <f t="shared" si="13"/>
        <v>0</v>
      </c>
      <c r="V170" s="39"/>
      <c r="W170" s="39"/>
      <c r="X170" s="39"/>
      <c r="Y170" s="39"/>
      <c r="Z170" s="39"/>
      <c r="AA170" s="39"/>
      <c r="AB170" s="39"/>
      <c r="AC170" s="40"/>
    </row>
    <row r="171" spans="1:29" ht="17.25" customHeight="1" x14ac:dyDescent="0.3">
      <c r="A171" s="44">
        <v>167</v>
      </c>
      <c r="B171" s="41" t="str">
        <f>IF(E171&lt;&gt;"",INDEX(Datos!D:D,MATCH(TH!E171,Datos!A:A,0)),"")</f>
        <v/>
      </c>
      <c r="C171" s="41" t="str">
        <f>IF(E171&lt;&gt;"",INDEX(Datos!C:C,MATCH(TH!E171,Datos!A:A,0)),"")</f>
        <v/>
      </c>
      <c r="D171" s="23" t="str">
        <f>IF(E171&lt;&gt;"",INDEX(Datos!B:B,MATCH(TH!E171,Datos!A:A,0)),"")</f>
        <v/>
      </c>
      <c r="E171"/>
      <c r="F171" s="35"/>
      <c r="G171" s="36">
        <v>2026</v>
      </c>
      <c r="H171" s="37">
        <v>9</v>
      </c>
      <c r="I171" s="62"/>
      <c r="J171" s="52" t="s">
        <v>528</v>
      </c>
      <c r="K171" s="53">
        <v>46154</v>
      </c>
      <c r="L171" s="34" t="s">
        <v>7</v>
      </c>
      <c r="M171" s="38"/>
      <c r="N171" s="38"/>
      <c r="O171" s="38">
        <f t="shared" si="12"/>
        <v>0</v>
      </c>
      <c r="P171" s="38"/>
      <c r="Q171" s="38"/>
      <c r="R171" s="38"/>
      <c r="S171" s="38"/>
      <c r="T171" s="38"/>
      <c r="U171" s="38">
        <f t="shared" si="13"/>
        <v>0</v>
      </c>
      <c r="V171" s="39"/>
      <c r="W171" s="39"/>
      <c r="X171" s="39"/>
      <c r="Y171" s="39"/>
      <c r="Z171" s="39"/>
      <c r="AA171" s="39"/>
      <c r="AB171" s="39"/>
      <c r="AC171" s="40"/>
    </row>
    <row r="172" spans="1:29" ht="18" customHeight="1" x14ac:dyDescent="0.3">
      <c r="A172" s="44">
        <v>168</v>
      </c>
      <c r="B172" s="41" t="str">
        <f>IF(E172&lt;&gt;"",INDEX(Datos!D:D,MATCH(TH!E172,Datos!A:A,0)),"")</f>
        <v/>
      </c>
      <c r="C172" s="41" t="str">
        <f>IF(E172&lt;&gt;"",INDEX(Datos!C:C,MATCH(TH!E172,Datos!A:A,0)),"")</f>
        <v/>
      </c>
      <c r="D172" s="23" t="str">
        <f>IF(E172&lt;&gt;"",INDEX(Datos!B:B,MATCH(TH!E172,Datos!A:A,0)),"")</f>
        <v/>
      </c>
      <c r="E172"/>
      <c r="F172" s="35"/>
      <c r="G172" s="36">
        <v>2026</v>
      </c>
      <c r="H172" s="37">
        <v>9</v>
      </c>
      <c r="I172" s="62"/>
      <c r="J172" s="52" t="s">
        <v>528</v>
      </c>
      <c r="K172" s="53">
        <v>46154</v>
      </c>
      <c r="L172" s="34" t="s">
        <v>7</v>
      </c>
      <c r="M172" s="38"/>
      <c r="N172" s="38"/>
      <c r="O172" s="38">
        <f t="shared" si="12"/>
        <v>0</v>
      </c>
      <c r="P172" s="38"/>
      <c r="Q172" s="38"/>
      <c r="R172" s="38"/>
      <c r="S172" s="38"/>
      <c r="T172" s="38"/>
      <c r="U172" s="38">
        <f t="shared" si="13"/>
        <v>0</v>
      </c>
      <c r="V172" s="39"/>
      <c r="W172" s="39"/>
      <c r="X172" s="39"/>
      <c r="Y172" s="39"/>
      <c r="Z172" s="39"/>
      <c r="AA172" s="39"/>
      <c r="AB172" s="39"/>
      <c r="AC172" s="40"/>
    </row>
    <row r="173" spans="1:29" ht="18" customHeight="1" x14ac:dyDescent="0.3">
      <c r="A173" s="45">
        <v>169</v>
      </c>
      <c r="B173" s="41" t="str">
        <f>IF(E173&lt;&gt;"",INDEX(Datos!D:D,MATCH(TH!E173,Datos!A:A,0)),"")</f>
        <v/>
      </c>
      <c r="C173" s="41" t="str">
        <f>IF(E173&lt;&gt;"",INDEX(Datos!C:C,MATCH(TH!E173,Datos!A:A,0)),"")</f>
        <v/>
      </c>
      <c r="D173" s="23" t="str">
        <f>IF(E173&lt;&gt;"",INDEX(Datos!B:B,MATCH(TH!E173,Datos!A:A,0)),"")</f>
        <v/>
      </c>
      <c r="E173"/>
      <c r="F173" s="35"/>
      <c r="G173" s="36">
        <v>2026</v>
      </c>
      <c r="H173" s="37">
        <v>9</v>
      </c>
      <c r="I173" s="62"/>
      <c r="J173" s="52" t="s">
        <v>528</v>
      </c>
      <c r="K173" s="53">
        <v>46154</v>
      </c>
      <c r="L173" s="34" t="s">
        <v>7</v>
      </c>
      <c r="M173" s="38"/>
      <c r="N173" s="38"/>
      <c r="O173" s="38">
        <f t="shared" si="12"/>
        <v>0</v>
      </c>
      <c r="P173" s="38"/>
      <c r="Q173" s="38"/>
      <c r="R173" s="38"/>
      <c r="S173" s="38"/>
      <c r="T173" s="38"/>
      <c r="U173" s="38">
        <f t="shared" si="13"/>
        <v>0</v>
      </c>
      <c r="V173" s="39"/>
      <c r="W173" s="39"/>
      <c r="X173" s="39"/>
      <c r="Y173" s="39"/>
      <c r="Z173" s="39"/>
      <c r="AA173" s="39"/>
      <c r="AB173" s="39"/>
      <c r="AC173" s="40"/>
    </row>
    <row r="174" spans="1:29" ht="18" customHeight="1" x14ac:dyDescent="0.3">
      <c r="A174" s="44">
        <v>170</v>
      </c>
      <c r="B174" s="41" t="str">
        <f>IF(E174&lt;&gt;"",INDEX(Datos!D:D,MATCH(TH!E174,Datos!A:A,0)),"")</f>
        <v/>
      </c>
      <c r="C174" s="41" t="str">
        <f>IF(E174&lt;&gt;"",INDEX(Datos!C:C,MATCH(TH!E174,Datos!A:A,0)),"")</f>
        <v/>
      </c>
      <c r="D174" s="23" t="str">
        <f>IF(E174&lt;&gt;"",INDEX(Datos!B:B,MATCH(TH!E174,Datos!A:A,0)),"")</f>
        <v/>
      </c>
      <c r="E174" s="68"/>
      <c r="F174" s="35"/>
      <c r="G174" s="36">
        <v>2026</v>
      </c>
      <c r="H174" s="37">
        <v>9</v>
      </c>
      <c r="I174" s="62"/>
      <c r="J174" s="52" t="s">
        <v>528</v>
      </c>
      <c r="K174" s="53">
        <v>46154</v>
      </c>
      <c r="L174" s="34" t="s">
        <v>7</v>
      </c>
      <c r="M174" s="38"/>
      <c r="N174" s="38"/>
      <c r="O174" s="38">
        <f t="shared" si="12"/>
        <v>0</v>
      </c>
      <c r="P174" s="38"/>
      <c r="Q174" s="38"/>
      <c r="R174" s="38"/>
      <c r="S174" s="38"/>
      <c r="T174" s="38"/>
      <c r="U174" s="38">
        <f t="shared" si="13"/>
        <v>0</v>
      </c>
      <c r="V174" s="39"/>
      <c r="W174" s="39"/>
      <c r="X174" s="39"/>
      <c r="Y174" s="39"/>
      <c r="Z174" s="39"/>
      <c r="AA174" s="39"/>
      <c r="AB174" s="39"/>
      <c r="AC174" s="40"/>
    </row>
    <row r="175" spans="1:29" ht="18" customHeight="1" x14ac:dyDescent="0.3">
      <c r="A175" s="45">
        <v>171</v>
      </c>
      <c r="B175" s="41" t="str">
        <f>IF(E175&lt;&gt;"",INDEX(Datos!D:D,MATCH(TH!E175,Datos!A:A,0)),"")</f>
        <v/>
      </c>
      <c r="C175" s="41" t="str">
        <f>IF(E175&lt;&gt;"",INDEX(Datos!C:C,MATCH(TH!E175,Datos!A:A,0)),"")</f>
        <v/>
      </c>
      <c r="D175" s="23" t="str">
        <f>IF(E175&lt;&gt;"",INDEX(Datos!B:B,MATCH(TH!E175,Datos!A:A,0)),"")</f>
        <v/>
      </c>
      <c r="E175" s="68"/>
      <c r="F175" s="35"/>
      <c r="G175" s="36">
        <v>2026</v>
      </c>
      <c r="H175" s="37">
        <v>9</v>
      </c>
      <c r="I175" s="62"/>
      <c r="J175" s="52" t="s">
        <v>528</v>
      </c>
      <c r="K175" s="53">
        <v>46154</v>
      </c>
      <c r="L175" s="34" t="s">
        <v>7</v>
      </c>
      <c r="M175" s="38"/>
      <c r="N175" s="38"/>
      <c r="O175" s="38">
        <f t="shared" si="12"/>
        <v>0</v>
      </c>
      <c r="P175" s="38"/>
      <c r="Q175" s="38"/>
      <c r="R175" s="38"/>
      <c r="S175" s="38"/>
      <c r="T175" s="38"/>
      <c r="U175" s="38">
        <f t="shared" si="13"/>
        <v>0</v>
      </c>
      <c r="V175" s="39"/>
      <c r="W175" s="39"/>
      <c r="X175" s="39"/>
      <c r="Y175" s="39"/>
      <c r="Z175" s="39"/>
      <c r="AA175" s="39"/>
      <c r="AB175" s="39"/>
      <c r="AC175" s="40"/>
    </row>
    <row r="176" spans="1:29" ht="18" customHeight="1" x14ac:dyDescent="0.3">
      <c r="A176" s="45">
        <v>172</v>
      </c>
      <c r="B176" s="41" t="str">
        <f>IF(E176&lt;&gt;"",INDEX(Datos!D:D,MATCH(TH!E176,Datos!A:A,0)),"")</f>
        <v/>
      </c>
      <c r="C176" s="41" t="str">
        <f>IF(E176&lt;&gt;"",INDEX(Datos!C:C,MATCH(TH!E176,Datos!A:A,0)),"")</f>
        <v/>
      </c>
      <c r="D176" s="23" t="str">
        <f>IF(E176&lt;&gt;"",INDEX(Datos!B:B,MATCH(TH!E176,Datos!A:A,0)),"")</f>
        <v/>
      </c>
      <c r="E176" s="68"/>
      <c r="F176" s="35"/>
      <c r="G176" s="36">
        <v>2026</v>
      </c>
      <c r="H176" s="37">
        <v>9</v>
      </c>
      <c r="I176" s="62"/>
      <c r="J176" s="52" t="s">
        <v>528</v>
      </c>
      <c r="K176" s="53">
        <v>46154</v>
      </c>
      <c r="L176" s="34" t="s">
        <v>7</v>
      </c>
      <c r="M176" s="38"/>
      <c r="N176" s="38"/>
      <c r="O176" s="38">
        <f t="shared" si="12"/>
        <v>0</v>
      </c>
      <c r="P176" s="38"/>
      <c r="Q176" s="38"/>
      <c r="R176" s="38"/>
      <c r="S176" s="38"/>
      <c r="T176" s="38"/>
      <c r="U176" s="38">
        <f t="shared" si="13"/>
        <v>0</v>
      </c>
      <c r="V176" s="39"/>
      <c r="W176" s="39"/>
      <c r="X176" s="39"/>
      <c r="Y176" s="39"/>
      <c r="Z176" s="39"/>
      <c r="AA176" s="39"/>
      <c r="AB176" s="39"/>
      <c r="AC176" s="40"/>
    </row>
    <row r="177" spans="1:29" ht="18" customHeight="1" x14ac:dyDescent="0.3">
      <c r="A177" s="44">
        <v>173</v>
      </c>
      <c r="B177" s="41" t="str">
        <f>IF(E177&lt;&gt;"",INDEX(Datos!D:D,MATCH(TH!E177,Datos!A:A,0)),"")</f>
        <v/>
      </c>
      <c r="C177" s="41" t="str">
        <f>IF(E177&lt;&gt;"",INDEX(Datos!C:C,MATCH(TH!E177,Datos!A:A,0)),"")</f>
        <v/>
      </c>
      <c r="D177" s="23" t="str">
        <f>IF(E177&lt;&gt;"",INDEX(Datos!B:B,MATCH(TH!E177,Datos!A:A,0)),"")</f>
        <v/>
      </c>
      <c r="E177" s="68"/>
      <c r="F177" s="35"/>
      <c r="G177" s="36">
        <v>2026</v>
      </c>
      <c r="H177" s="37">
        <v>9</v>
      </c>
      <c r="I177" s="62"/>
      <c r="J177" s="52" t="s">
        <v>528</v>
      </c>
      <c r="K177" s="53">
        <v>46154</v>
      </c>
      <c r="L177" s="34" t="s">
        <v>7</v>
      </c>
      <c r="M177" s="38"/>
      <c r="N177" s="38"/>
      <c r="O177" s="38">
        <f t="shared" si="12"/>
        <v>0</v>
      </c>
      <c r="P177" s="38"/>
      <c r="Q177" s="38"/>
      <c r="R177" s="38"/>
      <c r="S177" s="38"/>
      <c r="T177" s="38"/>
      <c r="U177" s="38">
        <f t="shared" si="13"/>
        <v>0</v>
      </c>
      <c r="V177" s="39"/>
      <c r="W177" s="39"/>
      <c r="X177" s="39"/>
      <c r="Y177" s="39"/>
      <c r="Z177" s="39"/>
      <c r="AA177" s="39"/>
      <c r="AB177" s="39"/>
      <c r="AC177" s="40"/>
    </row>
    <row r="178" spans="1:29" ht="18" customHeight="1" x14ac:dyDescent="0.3">
      <c r="A178" s="44">
        <v>174</v>
      </c>
      <c r="B178" s="41" t="str">
        <f>IF(E178&lt;&gt;"",INDEX(Datos!D:D,MATCH(TH!E178,Datos!A:A,0)),"")</f>
        <v/>
      </c>
      <c r="C178" s="41" t="str">
        <f>IF(E178&lt;&gt;"",INDEX(Datos!C:C,MATCH(TH!E178,Datos!A:A,0)),"")</f>
        <v/>
      </c>
      <c r="D178" s="23" t="str">
        <f>IF(E178&lt;&gt;"",INDEX(Datos!B:B,MATCH(TH!E178,Datos!A:A,0)),"")</f>
        <v/>
      </c>
      <c r="E178" s="68"/>
      <c r="F178" s="35"/>
      <c r="G178" s="36">
        <v>2026</v>
      </c>
      <c r="H178" s="37">
        <v>9</v>
      </c>
      <c r="I178" s="62"/>
      <c r="J178" s="52" t="s">
        <v>528</v>
      </c>
      <c r="K178" s="53">
        <v>46154</v>
      </c>
      <c r="L178" s="34" t="s">
        <v>7</v>
      </c>
      <c r="M178" s="38"/>
      <c r="N178" s="38"/>
      <c r="O178" s="38">
        <f t="shared" si="12"/>
        <v>0</v>
      </c>
      <c r="P178" s="38"/>
      <c r="Q178" s="38"/>
      <c r="R178" s="38"/>
      <c r="S178" s="38"/>
      <c r="T178" s="38"/>
      <c r="U178" s="38">
        <f t="shared" si="13"/>
        <v>0</v>
      </c>
      <c r="V178" s="39"/>
      <c r="W178" s="39"/>
      <c r="X178" s="39"/>
      <c r="Y178" s="39"/>
      <c r="Z178" s="39"/>
      <c r="AA178" s="39"/>
      <c r="AB178" s="39"/>
      <c r="AC178" s="40"/>
    </row>
    <row r="179" spans="1:29" ht="18" customHeight="1" x14ac:dyDescent="0.3">
      <c r="A179" s="45">
        <v>175</v>
      </c>
      <c r="B179" s="41" t="str">
        <f>IF(E179&lt;&gt;"",INDEX(Datos!D:D,MATCH(TH!E179,Datos!A:A,0)),"")</f>
        <v/>
      </c>
      <c r="C179" s="41" t="str">
        <f>IF(E179&lt;&gt;"",INDEX(Datos!C:C,MATCH(TH!E179,Datos!A:A,0)),"")</f>
        <v/>
      </c>
      <c r="D179" s="23" t="str">
        <f>IF(E179&lt;&gt;"",INDEX(Datos!B:B,MATCH(TH!E179,Datos!A:A,0)),"")</f>
        <v/>
      </c>
      <c r="E179" s="68"/>
      <c r="F179" s="35"/>
      <c r="G179" s="36">
        <v>2026</v>
      </c>
      <c r="H179" s="37">
        <v>9</v>
      </c>
      <c r="I179" s="62"/>
      <c r="J179" s="52" t="s">
        <v>528</v>
      </c>
      <c r="K179" s="53">
        <v>46154</v>
      </c>
      <c r="L179" s="34" t="s">
        <v>7</v>
      </c>
      <c r="M179" s="38"/>
      <c r="N179" s="38"/>
      <c r="O179" s="38">
        <f t="shared" si="12"/>
        <v>0</v>
      </c>
      <c r="P179" s="38"/>
      <c r="Q179" s="38"/>
      <c r="R179" s="38"/>
      <c r="S179" s="38"/>
      <c r="T179" s="38"/>
      <c r="U179" s="38">
        <f t="shared" si="13"/>
        <v>0</v>
      </c>
      <c r="V179" s="39"/>
      <c r="W179" s="39"/>
      <c r="X179" s="39"/>
      <c r="Y179" s="39"/>
      <c r="Z179" s="39"/>
      <c r="AA179" s="39"/>
      <c r="AB179" s="39"/>
      <c r="AC179" s="40"/>
    </row>
    <row r="180" spans="1:29" ht="18" customHeight="1" x14ac:dyDescent="0.3">
      <c r="A180" s="44">
        <v>176</v>
      </c>
      <c r="B180" s="41" t="str">
        <f>IF(E180&lt;&gt;"",INDEX(Datos!D:D,MATCH(TH!E180,Datos!A:A,0)),"")</f>
        <v/>
      </c>
      <c r="C180" s="41" t="str">
        <f>IF(E180&lt;&gt;"",INDEX(Datos!C:C,MATCH(TH!E180,Datos!A:A,0)),"")</f>
        <v/>
      </c>
      <c r="D180" s="23" t="str">
        <f>IF(E180&lt;&gt;"",INDEX(Datos!B:B,MATCH(TH!E180,Datos!A:A,0)),"")</f>
        <v/>
      </c>
      <c r="E180"/>
      <c r="F180" s="35"/>
      <c r="G180" s="36">
        <v>2026</v>
      </c>
      <c r="H180" s="37">
        <v>9</v>
      </c>
      <c r="I180" s="62"/>
      <c r="J180" s="52" t="s">
        <v>528</v>
      </c>
      <c r="K180" s="53">
        <v>46154</v>
      </c>
      <c r="L180" s="34" t="s">
        <v>7</v>
      </c>
      <c r="M180" s="38"/>
      <c r="N180" s="38"/>
      <c r="O180" s="38">
        <f t="shared" si="12"/>
        <v>0</v>
      </c>
      <c r="P180" s="38"/>
      <c r="Q180" s="38"/>
      <c r="R180" s="38"/>
      <c r="S180" s="38"/>
      <c r="T180" s="38"/>
      <c r="U180" s="38">
        <f t="shared" si="13"/>
        <v>0</v>
      </c>
      <c r="V180" s="39"/>
      <c r="W180" s="39"/>
      <c r="X180" s="39"/>
      <c r="Y180" s="39"/>
      <c r="Z180" s="39"/>
      <c r="AA180" s="39"/>
      <c r="AB180" s="39"/>
      <c r="AC180" s="40"/>
    </row>
    <row r="181" spans="1:29" ht="18" customHeight="1" x14ac:dyDescent="0.3">
      <c r="A181" s="45">
        <v>177</v>
      </c>
      <c r="B181" s="41" t="str">
        <f>IF(E181&lt;&gt;"",INDEX(Datos!D:D,MATCH(TH!E181,Datos!A:A,0)),"")</f>
        <v/>
      </c>
      <c r="C181" s="41" t="str">
        <f>IF(E181&lt;&gt;"",INDEX(Datos!C:C,MATCH(TH!E181,Datos!A:A,0)),"")</f>
        <v/>
      </c>
      <c r="D181" s="23" t="str">
        <f>IF(E181&lt;&gt;"",INDEX(Datos!B:B,MATCH(TH!E181,Datos!A:A,0)),"")</f>
        <v/>
      </c>
      <c r="E181"/>
      <c r="F181" s="35"/>
      <c r="G181" s="36">
        <v>2026</v>
      </c>
      <c r="H181" s="37">
        <v>9</v>
      </c>
      <c r="I181" s="62"/>
      <c r="J181" s="52" t="s">
        <v>528</v>
      </c>
      <c r="K181" s="53">
        <v>46154</v>
      </c>
      <c r="L181" s="34" t="s">
        <v>7</v>
      </c>
      <c r="M181" s="38"/>
      <c r="N181" s="38"/>
      <c r="O181" s="38">
        <f t="shared" si="12"/>
        <v>0</v>
      </c>
      <c r="P181" s="38"/>
      <c r="Q181" s="38"/>
      <c r="R181" s="38"/>
      <c r="S181" s="38"/>
      <c r="T181" s="38"/>
      <c r="U181" s="38">
        <f t="shared" si="13"/>
        <v>0</v>
      </c>
      <c r="V181" s="39"/>
      <c r="W181" s="39"/>
      <c r="X181" s="39"/>
      <c r="Y181" s="39"/>
      <c r="Z181" s="39"/>
      <c r="AA181" s="39"/>
      <c r="AB181" s="39"/>
      <c r="AC181" s="40"/>
    </row>
    <row r="182" spans="1:29" ht="18" customHeight="1" x14ac:dyDescent="0.3">
      <c r="A182" s="45">
        <v>178</v>
      </c>
      <c r="B182" s="41" t="str">
        <f>IF(E182&lt;&gt;"",INDEX(Datos!D:D,MATCH(TH!E182,Datos!A:A,0)),"")</f>
        <v/>
      </c>
      <c r="C182" s="41" t="str">
        <f>IF(E182&lt;&gt;"",INDEX(Datos!C:C,MATCH(TH!E182,Datos!A:A,0)),"")</f>
        <v/>
      </c>
      <c r="D182" s="23" t="str">
        <f>IF(E182&lt;&gt;"",INDEX(Datos!B:B,MATCH(TH!E182,Datos!A:A,0)),"")</f>
        <v/>
      </c>
      <c r="E182" s="68"/>
      <c r="F182" s="35"/>
      <c r="G182" s="36">
        <v>2026</v>
      </c>
      <c r="H182" s="37">
        <v>9</v>
      </c>
      <c r="I182" s="62"/>
      <c r="J182" s="52" t="s">
        <v>528</v>
      </c>
      <c r="K182" s="53">
        <v>46154</v>
      </c>
      <c r="L182" s="34" t="s">
        <v>7</v>
      </c>
      <c r="M182" s="38"/>
      <c r="N182" s="38"/>
      <c r="O182" s="38">
        <f t="shared" si="12"/>
        <v>0</v>
      </c>
      <c r="P182" s="38"/>
      <c r="Q182" s="38"/>
      <c r="R182" s="38"/>
      <c r="S182" s="38"/>
      <c r="T182" s="38"/>
      <c r="U182" s="38">
        <f t="shared" si="13"/>
        <v>0</v>
      </c>
      <c r="V182" s="39"/>
      <c r="W182" s="39"/>
      <c r="X182" s="39"/>
      <c r="Y182" s="39"/>
      <c r="Z182" s="39"/>
      <c r="AA182" s="39"/>
      <c r="AB182" s="39"/>
      <c r="AC182" s="40"/>
    </row>
    <row r="183" spans="1:29" ht="18" customHeight="1" x14ac:dyDescent="0.3">
      <c r="A183" s="44">
        <v>179</v>
      </c>
      <c r="B183" s="41" t="str">
        <f>IF(E183&lt;&gt;"",INDEX(Datos!D:D,MATCH(TH!E183,Datos!A:A,0)),"")</f>
        <v/>
      </c>
      <c r="C183" s="41" t="str">
        <f>IF(E183&lt;&gt;"",INDEX(Datos!C:C,MATCH(TH!E183,Datos!A:A,0)),"")</f>
        <v/>
      </c>
      <c r="D183" s="23" t="str">
        <f>IF(E183&lt;&gt;"",INDEX(Datos!B:B,MATCH(TH!E183,Datos!A:A,0)),"")</f>
        <v/>
      </c>
      <c r="E183" s="68"/>
      <c r="F183" s="35"/>
      <c r="G183" s="36">
        <v>2026</v>
      </c>
      <c r="H183" s="37">
        <v>9</v>
      </c>
      <c r="I183" s="62"/>
      <c r="J183" s="52" t="s">
        <v>528</v>
      </c>
      <c r="K183" s="53">
        <v>46154</v>
      </c>
      <c r="L183" s="34" t="s">
        <v>7</v>
      </c>
      <c r="M183" s="38"/>
      <c r="N183" s="38"/>
      <c r="O183" s="38">
        <f t="shared" si="12"/>
        <v>0</v>
      </c>
      <c r="P183" s="38"/>
      <c r="Q183" s="38"/>
      <c r="R183" s="38"/>
      <c r="S183" s="38"/>
      <c r="T183" s="38"/>
      <c r="U183" s="38">
        <f t="shared" si="13"/>
        <v>0</v>
      </c>
      <c r="V183" s="39"/>
      <c r="W183" s="39"/>
      <c r="X183" s="39"/>
      <c r="Y183" s="39"/>
      <c r="Z183" s="39"/>
      <c r="AA183" s="39"/>
      <c r="AB183" s="39"/>
      <c r="AC183" s="40"/>
    </row>
    <row r="184" spans="1:29" ht="18" customHeight="1" x14ac:dyDescent="0.3">
      <c r="A184" s="44">
        <v>180</v>
      </c>
      <c r="B184" s="41" t="str">
        <f>IF(E184&lt;&gt;"",INDEX(Datos!D:D,MATCH(TH!E184,Datos!A:A,0)),"")</f>
        <v/>
      </c>
      <c r="C184" s="41" t="str">
        <f>IF(E184&lt;&gt;"",INDEX(Datos!C:C,MATCH(TH!E184,Datos!A:A,0)),"")</f>
        <v/>
      </c>
      <c r="D184" s="23" t="str">
        <f>IF(E184&lt;&gt;"",INDEX(Datos!B:B,MATCH(TH!E184,Datos!A:A,0)),"")</f>
        <v/>
      </c>
      <c r="E184" s="68"/>
      <c r="F184" s="35"/>
      <c r="G184" s="36">
        <v>2026</v>
      </c>
      <c r="H184" s="37">
        <v>9</v>
      </c>
      <c r="I184" s="62"/>
      <c r="J184" s="52" t="s">
        <v>528</v>
      </c>
      <c r="K184" s="53">
        <v>46154</v>
      </c>
      <c r="L184" s="34" t="s">
        <v>7</v>
      </c>
      <c r="M184" s="38"/>
      <c r="N184" s="38"/>
      <c r="O184" s="38">
        <f t="shared" si="12"/>
        <v>0</v>
      </c>
      <c r="P184" s="38"/>
      <c r="Q184" s="38"/>
      <c r="R184" s="38"/>
      <c r="S184" s="38"/>
      <c r="T184" s="38"/>
      <c r="U184" s="38">
        <f t="shared" si="13"/>
        <v>0</v>
      </c>
      <c r="V184" s="39"/>
      <c r="W184" s="39"/>
      <c r="X184" s="39"/>
      <c r="Y184" s="39"/>
      <c r="Z184" s="39"/>
      <c r="AA184" s="39"/>
      <c r="AB184" s="39"/>
      <c r="AC184" s="40"/>
    </row>
    <row r="185" spans="1:29" ht="18" customHeight="1" x14ac:dyDescent="0.3">
      <c r="A185" s="45">
        <v>181</v>
      </c>
      <c r="B185" s="55" t="str">
        <f>IF(E185&lt;&gt;"",INDEX(Datos!D:D,MATCH(TH!E185,Datos!A:A,0)),"")</f>
        <v/>
      </c>
      <c r="C185" s="55" t="str">
        <f>IF(E185&lt;&gt;"",INDEX(Datos!C:C,MATCH(TH!E185,Datos!A:A,0)),"")</f>
        <v/>
      </c>
      <c r="D185" s="59" t="str">
        <f>IF(E185&lt;&gt;"",INDEX(Datos!B:B,MATCH(TH!E185,Datos!A:A,0)),"")</f>
        <v/>
      </c>
      <c r="E185" s="68"/>
      <c r="F185" s="35"/>
      <c r="G185" s="36">
        <v>2026</v>
      </c>
      <c r="H185" s="37">
        <v>9</v>
      </c>
      <c r="I185" s="62"/>
      <c r="J185" s="52" t="s">
        <v>528</v>
      </c>
      <c r="K185" s="53">
        <v>46154</v>
      </c>
      <c r="L185" s="34" t="s">
        <v>7</v>
      </c>
      <c r="M185" s="38"/>
      <c r="N185" s="38"/>
      <c r="O185" s="38">
        <f t="shared" si="12"/>
        <v>0</v>
      </c>
      <c r="P185" s="38"/>
      <c r="Q185" s="38"/>
      <c r="R185" s="38"/>
      <c r="S185" s="38"/>
      <c r="T185" s="38"/>
      <c r="U185" s="38">
        <f t="shared" si="13"/>
        <v>0</v>
      </c>
      <c r="V185" s="39"/>
      <c r="W185" s="39"/>
      <c r="X185" s="39"/>
      <c r="Y185" s="39"/>
      <c r="Z185" s="39"/>
      <c r="AA185" s="39"/>
      <c r="AB185" s="39"/>
      <c r="AC185" s="56"/>
    </row>
    <row r="186" spans="1:29" s="54" customFormat="1" ht="18" customHeight="1" x14ac:dyDescent="0.3">
      <c r="A186" s="44">
        <v>182</v>
      </c>
      <c r="B186" s="41" t="str">
        <f>IF(E186&lt;&gt;"",INDEX(Datos!D:D,MATCH(TH!E186,Datos!A:A,0)),"")</f>
        <v/>
      </c>
      <c r="C186" s="41" t="str">
        <f>IF(E186&lt;&gt;"",INDEX(Datos!C:C,MATCH(TH!E186,Datos!A:A,0)),"")</f>
        <v/>
      </c>
      <c r="D186" s="23" t="str">
        <f>IF(E186&lt;&gt;"",INDEX(Datos!B:B,MATCH(TH!E186,Datos!A:A,0)),"")</f>
        <v/>
      </c>
      <c r="E186" s="68"/>
      <c r="F186" s="35"/>
      <c r="G186" s="36">
        <v>2026</v>
      </c>
      <c r="H186" s="37">
        <v>9</v>
      </c>
      <c r="I186" s="62"/>
      <c r="J186" s="52" t="s">
        <v>528</v>
      </c>
      <c r="K186" s="53">
        <v>46154</v>
      </c>
      <c r="L186" s="34" t="s">
        <v>7</v>
      </c>
      <c r="M186" s="38"/>
      <c r="N186" s="38"/>
      <c r="O186" s="38">
        <f t="shared" si="12"/>
        <v>0</v>
      </c>
      <c r="P186" s="38"/>
      <c r="Q186" s="38"/>
      <c r="R186" s="38"/>
      <c r="S186" s="38"/>
      <c r="T186" s="38"/>
      <c r="U186" s="38">
        <f t="shared" si="13"/>
        <v>0</v>
      </c>
      <c r="V186" s="39"/>
      <c r="W186" s="39"/>
      <c r="X186" s="39"/>
      <c r="Y186" s="39"/>
      <c r="Z186" s="39"/>
      <c r="AA186" s="39"/>
      <c r="AB186" s="39"/>
      <c r="AC186" s="40"/>
    </row>
    <row r="187" spans="1:29" s="54" customFormat="1" ht="18" customHeight="1" x14ac:dyDescent="0.3">
      <c r="A187" s="45">
        <v>183</v>
      </c>
      <c r="B187" s="41" t="str">
        <f>IF(E187&lt;&gt;"",INDEX(Datos!D:D,MATCH(TH!E187,Datos!A:A,0)),"")</f>
        <v/>
      </c>
      <c r="C187" s="41" t="str">
        <f>IF(E187&lt;&gt;"",INDEX(Datos!C:C,MATCH(TH!E187,Datos!A:A,0)),"")</f>
        <v/>
      </c>
      <c r="D187" s="23" t="str">
        <f>IF(E187&lt;&gt;"",INDEX(Datos!B:B,MATCH(TH!E187,Datos!A:A,0)),"")</f>
        <v/>
      </c>
      <c r="E187" s="68"/>
      <c r="F187" s="35"/>
      <c r="G187" s="36">
        <v>2026</v>
      </c>
      <c r="H187" s="37">
        <v>9</v>
      </c>
      <c r="I187" s="62"/>
      <c r="J187" s="52" t="s">
        <v>528</v>
      </c>
      <c r="K187" s="53">
        <v>46154</v>
      </c>
      <c r="L187" s="34" t="s">
        <v>7</v>
      </c>
      <c r="M187" s="38"/>
      <c r="N187" s="38"/>
      <c r="O187" s="38">
        <f t="shared" si="12"/>
        <v>0</v>
      </c>
      <c r="P187" s="38"/>
      <c r="Q187" s="38"/>
      <c r="R187" s="38"/>
      <c r="S187" s="38"/>
      <c r="T187" s="38"/>
      <c r="U187" s="38">
        <f t="shared" si="13"/>
        <v>0</v>
      </c>
      <c r="V187" s="39"/>
      <c r="W187" s="39"/>
      <c r="X187" s="39"/>
      <c r="Y187" s="39"/>
      <c r="Z187" s="39"/>
      <c r="AA187" s="39"/>
      <c r="AB187" s="39"/>
      <c r="AC187" s="40"/>
    </row>
    <row r="188" spans="1:29" s="54" customFormat="1" ht="18" customHeight="1" x14ac:dyDescent="0.3">
      <c r="A188" s="45">
        <v>184</v>
      </c>
      <c r="B188" s="41" t="str">
        <f>IF(E188&lt;&gt;"",INDEX(Datos!D:D,MATCH(TH!E188,Datos!A:A,0)),"")</f>
        <v/>
      </c>
      <c r="C188" s="41" t="str">
        <f>IF(E188&lt;&gt;"",INDEX(Datos!C:C,MATCH(TH!E188,Datos!A:A,0)),"")</f>
        <v/>
      </c>
      <c r="D188" s="23" t="str">
        <f>IF(E188&lt;&gt;"",INDEX(Datos!B:B,MATCH(TH!E188,Datos!A:A,0)),"")</f>
        <v/>
      </c>
      <c r="E188"/>
      <c r="F188" s="35"/>
      <c r="G188" s="36">
        <v>2026</v>
      </c>
      <c r="H188" s="37">
        <v>9</v>
      </c>
      <c r="I188" s="62"/>
      <c r="J188" s="52" t="s">
        <v>528</v>
      </c>
      <c r="K188" s="53">
        <v>46154</v>
      </c>
      <c r="L188" s="34" t="s">
        <v>7</v>
      </c>
      <c r="M188" s="38"/>
      <c r="N188" s="38"/>
      <c r="O188" s="38">
        <f t="shared" si="12"/>
        <v>0</v>
      </c>
      <c r="P188" s="38"/>
      <c r="Q188" s="38"/>
      <c r="R188" s="38"/>
      <c r="S188" s="38"/>
      <c r="T188" s="38"/>
      <c r="U188" s="38">
        <f t="shared" si="13"/>
        <v>0</v>
      </c>
      <c r="V188" s="39"/>
      <c r="W188" s="39"/>
      <c r="X188" s="39"/>
      <c r="Y188" s="39"/>
      <c r="Z188" s="39"/>
      <c r="AA188" s="39"/>
      <c r="AB188" s="39"/>
      <c r="AC188" s="40"/>
    </row>
    <row r="189" spans="1:29" ht="18" customHeight="1" x14ac:dyDescent="0.3">
      <c r="A189" s="44">
        <v>185</v>
      </c>
      <c r="B189" s="57" t="str">
        <f>IF(E189&lt;&gt;"",INDEX(Datos!D:D,MATCH(TH!E189,Datos!A:A,0)),"")</f>
        <v/>
      </c>
      <c r="C189" s="57" t="str">
        <f>IF(E189&lt;&gt;"",INDEX(Datos!C:C,MATCH(TH!E189,Datos!A:A,0)),"")</f>
        <v/>
      </c>
      <c r="D189" s="60" t="str">
        <f>IF(E189&lt;&gt;"",INDEX(Datos!B:B,MATCH(TH!E189,Datos!A:A,0)),"")</f>
        <v/>
      </c>
      <c r="E189"/>
      <c r="F189" s="35"/>
      <c r="G189" s="36">
        <v>2026</v>
      </c>
      <c r="H189" s="37">
        <v>9</v>
      </c>
      <c r="I189" s="62"/>
      <c r="J189" s="52" t="s">
        <v>528</v>
      </c>
      <c r="K189" s="53">
        <v>46154</v>
      </c>
      <c r="L189" s="34" t="s">
        <v>7</v>
      </c>
      <c r="M189" s="38"/>
      <c r="N189" s="38"/>
      <c r="O189" s="38">
        <f t="shared" si="12"/>
        <v>0</v>
      </c>
      <c r="P189" s="38"/>
      <c r="Q189" s="38"/>
      <c r="R189" s="38"/>
      <c r="S189" s="38"/>
      <c r="T189" s="38"/>
      <c r="U189" s="38">
        <f t="shared" si="13"/>
        <v>0</v>
      </c>
      <c r="V189" s="39"/>
      <c r="W189" s="39"/>
      <c r="X189" s="39"/>
      <c r="Y189" s="39"/>
      <c r="Z189" s="39"/>
      <c r="AA189" s="39"/>
      <c r="AB189" s="39"/>
      <c r="AC189" s="58"/>
    </row>
    <row r="190" spans="1:29" ht="18" customHeight="1" x14ac:dyDescent="0.3">
      <c r="A190" s="44">
        <v>186</v>
      </c>
      <c r="B190" s="41" t="str">
        <f>IF(E190&lt;&gt;"",INDEX(Datos!D:D,MATCH(TH!E190,Datos!A:A,0)),"")</f>
        <v/>
      </c>
      <c r="C190" s="41" t="str">
        <f>IF(E190&lt;&gt;"",INDEX(Datos!C:C,MATCH(TH!E190,Datos!A:A,0)),"")</f>
        <v/>
      </c>
      <c r="D190" s="23" t="str">
        <f>IF(E190&lt;&gt;"",INDEX(Datos!B:B,MATCH(TH!E190,Datos!A:A,0)),"")</f>
        <v/>
      </c>
      <c r="E190"/>
      <c r="F190" s="35"/>
      <c r="G190" s="36">
        <v>2026</v>
      </c>
      <c r="H190" s="37">
        <v>9</v>
      </c>
      <c r="I190" s="62"/>
      <c r="J190" s="52" t="s">
        <v>528</v>
      </c>
      <c r="K190" s="53">
        <v>46154</v>
      </c>
      <c r="L190" s="34" t="s">
        <v>7</v>
      </c>
      <c r="M190" s="38"/>
      <c r="N190" s="38"/>
      <c r="O190" s="38">
        <f t="shared" si="12"/>
        <v>0</v>
      </c>
      <c r="P190" s="38"/>
      <c r="Q190" s="38"/>
      <c r="R190" s="38"/>
      <c r="S190" s="38"/>
      <c r="T190" s="38"/>
      <c r="U190" s="38">
        <f t="shared" si="13"/>
        <v>0</v>
      </c>
      <c r="V190" s="39"/>
      <c r="W190" s="39"/>
      <c r="X190" s="39"/>
      <c r="Y190" s="39"/>
      <c r="Z190" s="39"/>
      <c r="AA190" s="39"/>
      <c r="AB190" s="39"/>
      <c r="AC190" s="40"/>
    </row>
    <row r="191" spans="1:29" ht="18" customHeight="1" x14ac:dyDescent="0.3">
      <c r="A191" s="45">
        <v>187</v>
      </c>
      <c r="B191" s="41" t="str">
        <f>IF(E191&lt;&gt;"",INDEX(Datos!D:D,MATCH(TH!E191,Datos!A:A,0)),"")</f>
        <v/>
      </c>
      <c r="C191" s="41" t="str">
        <f>IF(E191&lt;&gt;"",INDEX(Datos!C:C,MATCH(TH!E191,Datos!A:A,0)),"")</f>
        <v/>
      </c>
      <c r="D191" s="23" t="str">
        <f>IF(E191&lt;&gt;"",INDEX(Datos!B:B,MATCH(TH!E191,Datos!A:A,0)),"")</f>
        <v/>
      </c>
      <c r="E191"/>
      <c r="F191" s="35"/>
      <c r="G191" s="36">
        <v>2026</v>
      </c>
      <c r="H191" s="37">
        <v>9</v>
      </c>
      <c r="I191" s="62"/>
      <c r="J191" s="52" t="s">
        <v>528</v>
      </c>
      <c r="K191" s="53">
        <v>46154</v>
      </c>
      <c r="L191" s="34" t="s">
        <v>7</v>
      </c>
      <c r="M191" s="38"/>
      <c r="N191" s="38"/>
      <c r="O191" s="38">
        <f t="shared" si="12"/>
        <v>0</v>
      </c>
      <c r="P191" s="38"/>
      <c r="Q191" s="38"/>
      <c r="R191" s="38"/>
      <c r="S191" s="38"/>
      <c r="T191" s="38"/>
      <c r="U191" s="38">
        <f t="shared" si="13"/>
        <v>0</v>
      </c>
      <c r="V191" s="39"/>
      <c r="W191" s="39"/>
      <c r="X191" s="39"/>
      <c r="Y191" s="39"/>
      <c r="Z191" s="39"/>
      <c r="AA191" s="39"/>
      <c r="AB191" s="39"/>
      <c r="AC191" s="40"/>
    </row>
    <row r="192" spans="1:29" ht="18" customHeight="1" x14ac:dyDescent="0.3">
      <c r="A192" s="44">
        <v>188</v>
      </c>
      <c r="B192" s="41" t="str">
        <f>IF(E192&lt;&gt;"",INDEX(Datos!D:D,MATCH(TH!E192,Datos!A:A,0)),"")</f>
        <v/>
      </c>
      <c r="C192" s="41" t="str">
        <f>IF(E192&lt;&gt;"",INDEX(Datos!C:C,MATCH(TH!E192,Datos!A:A,0)),"")</f>
        <v/>
      </c>
      <c r="D192" s="23" t="str">
        <f>IF(E192&lt;&gt;"",INDEX(Datos!B:B,MATCH(TH!E192,Datos!A:A,0)),"")</f>
        <v/>
      </c>
      <c r="E192"/>
      <c r="F192" s="35"/>
      <c r="G192" s="36">
        <v>2026</v>
      </c>
      <c r="H192" s="37">
        <v>9</v>
      </c>
      <c r="I192" s="62"/>
      <c r="J192" s="52" t="s">
        <v>528</v>
      </c>
      <c r="K192" s="53">
        <v>46154</v>
      </c>
      <c r="L192" s="34" t="s">
        <v>7</v>
      </c>
      <c r="M192" s="38"/>
      <c r="N192" s="38"/>
      <c r="O192" s="38">
        <f t="shared" si="12"/>
        <v>0</v>
      </c>
      <c r="P192" s="38"/>
      <c r="Q192" s="38"/>
      <c r="R192" s="38"/>
      <c r="S192" s="38"/>
      <c r="T192" s="38"/>
      <c r="U192" s="38">
        <f t="shared" si="13"/>
        <v>0</v>
      </c>
      <c r="V192" s="39"/>
      <c r="W192" s="39"/>
      <c r="X192" s="39"/>
      <c r="Y192" s="39"/>
      <c r="Z192" s="39"/>
      <c r="AA192" s="39"/>
      <c r="AB192" s="39"/>
      <c r="AC192" s="40"/>
    </row>
    <row r="193" spans="1:29" ht="18" customHeight="1" x14ac:dyDescent="0.3">
      <c r="A193" s="45">
        <v>189</v>
      </c>
      <c r="B193" s="41" t="str">
        <f>IF(E193&lt;&gt;"",INDEX(Datos!D:D,MATCH(TH!E193,Datos!A:A,0)),"")</f>
        <v/>
      </c>
      <c r="C193" s="41" t="str">
        <f>IF(E193&lt;&gt;"",INDEX(Datos!C:C,MATCH(TH!E193,Datos!A:A,0)),"")</f>
        <v/>
      </c>
      <c r="D193" s="23" t="str">
        <f>IF(E193&lt;&gt;"",INDEX(Datos!B:B,MATCH(TH!E193,Datos!A:A,0)),"")</f>
        <v/>
      </c>
      <c r="E193"/>
      <c r="F193" s="35"/>
      <c r="G193" s="36">
        <v>2026</v>
      </c>
      <c r="H193" s="37">
        <v>9</v>
      </c>
      <c r="I193" s="62"/>
      <c r="J193" s="52" t="s">
        <v>528</v>
      </c>
      <c r="K193" s="53">
        <v>46154</v>
      </c>
      <c r="L193" s="34" t="s">
        <v>7</v>
      </c>
      <c r="M193" s="38"/>
      <c r="N193" s="38"/>
      <c r="O193" s="38">
        <f t="shared" si="12"/>
        <v>0</v>
      </c>
      <c r="P193" s="38"/>
      <c r="Q193" s="38"/>
      <c r="R193" s="38"/>
      <c r="S193" s="38"/>
      <c r="T193" s="38"/>
      <c r="U193" s="38">
        <f t="shared" si="13"/>
        <v>0</v>
      </c>
      <c r="V193" s="39"/>
      <c r="W193" s="39"/>
      <c r="X193" s="39"/>
      <c r="Y193" s="39"/>
      <c r="Z193" s="39"/>
      <c r="AA193" s="39"/>
      <c r="AB193" s="39"/>
      <c r="AC193" s="40"/>
    </row>
    <row r="194" spans="1:29" ht="18" customHeight="1" x14ac:dyDescent="0.3">
      <c r="A194" s="45">
        <v>190</v>
      </c>
      <c r="B194" s="41" t="str">
        <f>IF(E194&lt;&gt;"",INDEX(Datos!D:D,MATCH(TH!E194,Datos!A:A,0)),"")</f>
        <v/>
      </c>
      <c r="C194" s="41" t="str">
        <f>IF(E194&lt;&gt;"",INDEX(Datos!C:C,MATCH(TH!E194,Datos!A:A,0)),"")</f>
        <v/>
      </c>
      <c r="D194" s="23" t="str">
        <f>IF(E194&lt;&gt;"",INDEX(Datos!B:B,MATCH(TH!E194,Datos!A:A,0)),"")</f>
        <v/>
      </c>
      <c r="E194"/>
      <c r="F194" s="35"/>
      <c r="G194" s="36">
        <v>2026</v>
      </c>
      <c r="H194" s="37">
        <v>9</v>
      </c>
      <c r="I194" s="62"/>
      <c r="J194" s="52" t="s">
        <v>528</v>
      </c>
      <c r="K194" s="53">
        <v>46154</v>
      </c>
      <c r="L194" s="34" t="s">
        <v>7</v>
      </c>
      <c r="M194" s="38"/>
      <c r="N194" s="38"/>
      <c r="O194" s="38">
        <f t="shared" si="12"/>
        <v>0</v>
      </c>
      <c r="P194" s="38"/>
      <c r="Q194" s="38"/>
      <c r="R194" s="38"/>
      <c r="S194" s="38"/>
      <c r="T194" s="38"/>
      <c r="U194" s="38">
        <f t="shared" si="13"/>
        <v>0</v>
      </c>
      <c r="V194" s="39"/>
      <c r="W194" s="39"/>
      <c r="X194" s="39"/>
      <c r="Y194" s="39"/>
      <c r="Z194" s="39"/>
      <c r="AA194" s="39"/>
      <c r="AB194" s="39"/>
      <c r="AC194" s="40"/>
    </row>
    <row r="195" spans="1:29" ht="18" customHeight="1" x14ac:dyDescent="0.3">
      <c r="A195" s="44">
        <v>191</v>
      </c>
      <c r="B195" s="41" t="str">
        <f>IF(E195&lt;&gt;"",INDEX(Datos!D:D,MATCH(TH!E195,Datos!A:A,0)),"")</f>
        <v/>
      </c>
      <c r="C195" s="41" t="str">
        <f>IF(E195&lt;&gt;"",INDEX(Datos!C:C,MATCH(TH!E195,Datos!A:A,0)),"")</f>
        <v/>
      </c>
      <c r="D195" s="23" t="str">
        <f>IF(E195&lt;&gt;"",INDEX(Datos!B:B,MATCH(TH!E195,Datos!A:A,0)),"")</f>
        <v/>
      </c>
      <c r="E195" s="68"/>
      <c r="F195" s="35"/>
      <c r="G195" s="36">
        <v>2026</v>
      </c>
      <c r="H195" s="37">
        <v>9</v>
      </c>
      <c r="I195" s="62"/>
      <c r="J195" s="52" t="s">
        <v>528</v>
      </c>
      <c r="K195" s="53">
        <v>46154</v>
      </c>
      <c r="L195" s="34" t="s">
        <v>7</v>
      </c>
      <c r="M195" s="38"/>
      <c r="N195" s="38"/>
      <c r="O195" s="38">
        <f t="shared" si="12"/>
        <v>0</v>
      </c>
      <c r="P195" s="38"/>
      <c r="Q195" s="38"/>
      <c r="R195" s="38"/>
      <c r="S195" s="38"/>
      <c r="T195" s="38"/>
      <c r="U195" s="38">
        <f t="shared" si="13"/>
        <v>0</v>
      </c>
      <c r="V195" s="39"/>
      <c r="W195" s="39"/>
      <c r="X195" s="39"/>
      <c r="Y195" s="39"/>
      <c r="Z195" s="39"/>
      <c r="AA195" s="39"/>
      <c r="AB195" s="39"/>
      <c r="AC195" s="40"/>
    </row>
    <row r="196" spans="1:29" ht="18" customHeight="1" x14ac:dyDescent="0.3">
      <c r="A196" s="44">
        <v>192</v>
      </c>
      <c r="B196" s="41" t="str">
        <f>IF(E196&lt;&gt;"",INDEX(Datos!D:D,MATCH(TH!E196,Datos!A:A,0)),"")</f>
        <v/>
      </c>
      <c r="C196" s="41" t="str">
        <f>IF(E196&lt;&gt;"",INDEX(Datos!C:C,MATCH(TH!E196,Datos!A:A,0)),"")</f>
        <v/>
      </c>
      <c r="D196" s="23" t="str">
        <f>IF(E196&lt;&gt;"",INDEX(Datos!B:B,MATCH(TH!E196,Datos!A:A,0)),"")</f>
        <v/>
      </c>
      <c r="E196" s="68"/>
      <c r="F196" s="35"/>
      <c r="G196" s="36">
        <v>2026</v>
      </c>
      <c r="H196" s="37">
        <v>9</v>
      </c>
      <c r="I196" s="62"/>
      <c r="J196" s="52" t="s">
        <v>528</v>
      </c>
      <c r="K196" s="53">
        <v>46154</v>
      </c>
      <c r="L196" s="34" t="s">
        <v>7</v>
      </c>
      <c r="M196" s="38"/>
      <c r="N196" s="38"/>
      <c r="O196" s="38">
        <f t="shared" si="12"/>
        <v>0</v>
      </c>
      <c r="P196" s="38"/>
      <c r="Q196" s="38"/>
      <c r="R196" s="38"/>
      <c r="S196" s="38"/>
      <c r="T196" s="38"/>
      <c r="U196" s="38">
        <f t="shared" si="13"/>
        <v>0</v>
      </c>
      <c r="V196" s="39"/>
      <c r="W196" s="39"/>
      <c r="X196" s="39"/>
      <c r="Y196" s="39"/>
      <c r="Z196" s="39"/>
      <c r="AA196" s="39"/>
      <c r="AB196" s="39"/>
      <c r="AC196" s="40"/>
    </row>
    <row r="197" spans="1:29" ht="18" customHeight="1" x14ac:dyDescent="0.3">
      <c r="A197" s="45">
        <v>193</v>
      </c>
      <c r="B197" s="41" t="str">
        <f>IF(E197&lt;&gt;"",INDEX(Datos!D:D,MATCH(TH!E197,Datos!A:A,0)),"")</f>
        <v/>
      </c>
      <c r="C197" s="41" t="str">
        <f>IF(E197&lt;&gt;"",INDEX(Datos!C:C,MATCH(TH!E197,Datos!A:A,0)),"")</f>
        <v/>
      </c>
      <c r="D197" s="23" t="str">
        <f>IF(E197&lt;&gt;"",INDEX(Datos!B:B,MATCH(TH!E197,Datos!A:A,0)),"")</f>
        <v/>
      </c>
      <c r="E197"/>
      <c r="F197" s="35"/>
      <c r="G197" s="36">
        <v>2026</v>
      </c>
      <c r="H197" s="37">
        <v>9</v>
      </c>
      <c r="I197" s="62"/>
      <c r="J197" s="52" t="s">
        <v>528</v>
      </c>
      <c r="K197" s="53">
        <v>46154</v>
      </c>
      <c r="L197" s="34" t="s">
        <v>7</v>
      </c>
      <c r="M197" s="38"/>
      <c r="N197" s="38"/>
      <c r="O197" s="38">
        <f t="shared" si="12"/>
        <v>0</v>
      </c>
      <c r="P197" s="38"/>
      <c r="Q197" s="38"/>
      <c r="R197" s="38"/>
      <c r="S197" s="38"/>
      <c r="T197" s="38"/>
      <c r="U197" s="38">
        <f t="shared" si="13"/>
        <v>0</v>
      </c>
      <c r="V197" s="39"/>
      <c r="W197" s="39"/>
      <c r="X197" s="39"/>
      <c r="Y197" s="39"/>
      <c r="Z197" s="39"/>
      <c r="AA197" s="39"/>
      <c r="AB197" s="39"/>
      <c r="AC197" s="40"/>
    </row>
    <row r="198" spans="1:29" ht="18" customHeight="1" x14ac:dyDescent="0.3">
      <c r="A198" s="44">
        <v>194</v>
      </c>
      <c r="B198" s="41" t="str">
        <f>IF(E198&lt;&gt;"",INDEX(Datos!D:D,MATCH(TH!E198,Datos!A:A,0)),"")</f>
        <v/>
      </c>
      <c r="C198" s="41" t="str">
        <f>IF(E198&lt;&gt;"",INDEX(Datos!C:C,MATCH(TH!E198,Datos!A:A,0)),"")</f>
        <v/>
      </c>
      <c r="D198" s="23" t="str">
        <f>IF(E198&lt;&gt;"",INDEX(Datos!B:B,MATCH(TH!E198,Datos!A:A,0)),"")</f>
        <v/>
      </c>
      <c r="E198"/>
      <c r="F198" s="35"/>
      <c r="G198" s="36">
        <v>2026</v>
      </c>
      <c r="H198" s="37">
        <v>9</v>
      </c>
      <c r="I198" s="62"/>
      <c r="J198" s="52" t="s">
        <v>528</v>
      </c>
      <c r="K198" s="53">
        <v>46154</v>
      </c>
      <c r="L198" s="34" t="s">
        <v>7</v>
      </c>
      <c r="M198" s="38"/>
      <c r="N198" s="38"/>
      <c r="O198" s="38">
        <f t="shared" si="12"/>
        <v>0</v>
      </c>
      <c r="P198" s="38"/>
      <c r="Q198" s="38"/>
      <c r="R198" s="38"/>
      <c r="S198" s="38"/>
      <c r="T198" s="38"/>
      <c r="U198" s="38">
        <f t="shared" si="13"/>
        <v>0</v>
      </c>
      <c r="V198" s="39"/>
      <c r="W198" s="39"/>
      <c r="X198" s="39"/>
      <c r="Y198" s="39"/>
      <c r="Z198" s="39"/>
      <c r="AA198" s="39"/>
      <c r="AB198" s="39"/>
      <c r="AC198" s="40"/>
    </row>
    <row r="199" spans="1:29" ht="18" customHeight="1" x14ac:dyDescent="0.3">
      <c r="A199" s="45">
        <v>195</v>
      </c>
      <c r="B199" s="41" t="str">
        <f>IF(E199&lt;&gt;"",INDEX(Datos!D:D,MATCH(TH!E199,Datos!A:A,0)),"")</f>
        <v/>
      </c>
      <c r="C199" s="41" t="str">
        <f>IF(E199&lt;&gt;"",INDEX(Datos!C:C,MATCH(TH!E199,Datos!A:A,0)),"")</f>
        <v/>
      </c>
      <c r="D199" s="23" t="str">
        <f>IF(E199&lt;&gt;"",INDEX(Datos!B:B,MATCH(TH!E199,Datos!A:A,0)),"")</f>
        <v/>
      </c>
      <c r="E199" s="43"/>
      <c r="F199" s="35"/>
      <c r="G199" s="36">
        <v>2026</v>
      </c>
      <c r="H199" s="37">
        <v>9</v>
      </c>
      <c r="I199" s="62"/>
      <c r="J199" s="52" t="s">
        <v>528</v>
      </c>
      <c r="K199" s="53">
        <v>46154</v>
      </c>
      <c r="L199" s="34" t="s">
        <v>7</v>
      </c>
      <c r="M199" s="38"/>
      <c r="N199" s="38"/>
      <c r="O199" s="38">
        <f t="shared" si="12"/>
        <v>0</v>
      </c>
      <c r="P199" s="38"/>
      <c r="Q199" s="38"/>
      <c r="R199" s="38"/>
      <c r="S199" s="38"/>
      <c r="T199" s="38"/>
      <c r="U199" s="38">
        <f t="shared" si="13"/>
        <v>0</v>
      </c>
      <c r="V199" s="39"/>
      <c r="W199" s="39"/>
      <c r="X199" s="39"/>
      <c r="Y199" s="39"/>
      <c r="Z199" s="39"/>
      <c r="AA199" s="39"/>
      <c r="AB199" s="39"/>
      <c r="AC199" s="40"/>
    </row>
    <row r="200" spans="1:29" ht="18" customHeight="1" x14ac:dyDescent="0.3">
      <c r="A200" s="45">
        <v>196</v>
      </c>
      <c r="B200" s="41" t="str">
        <f>IF(E200&lt;&gt;"",INDEX(Datos!D:D,MATCH(TH!E200,Datos!A:A,0)),"")</f>
        <v/>
      </c>
      <c r="C200" s="41" t="str">
        <f>IF(E200&lt;&gt;"",INDEX(Datos!C:C,MATCH(TH!E200,Datos!A:A,0)),"")</f>
        <v/>
      </c>
      <c r="D200" s="23" t="str">
        <f>IF(E200&lt;&gt;"",INDEX(Datos!B:B,MATCH(TH!E200,Datos!A:A,0)),"")</f>
        <v/>
      </c>
      <c r="E200" s="43"/>
      <c r="F200" s="35"/>
      <c r="G200" s="36">
        <v>2026</v>
      </c>
      <c r="H200" s="37">
        <v>9</v>
      </c>
      <c r="I200" s="62"/>
      <c r="J200" s="52" t="s">
        <v>528</v>
      </c>
      <c r="K200" s="53">
        <v>46154</v>
      </c>
      <c r="L200" s="34" t="s">
        <v>7</v>
      </c>
      <c r="M200" s="38"/>
      <c r="N200" s="38"/>
      <c r="O200" s="38">
        <f t="shared" si="12"/>
        <v>0</v>
      </c>
      <c r="P200" s="38"/>
      <c r="Q200" s="38"/>
      <c r="R200" s="38"/>
      <c r="S200" s="38"/>
      <c r="T200" s="38"/>
      <c r="U200" s="38">
        <f t="shared" si="13"/>
        <v>0</v>
      </c>
      <c r="V200" s="39"/>
      <c r="W200" s="39"/>
      <c r="X200" s="39"/>
      <c r="Y200" s="39"/>
      <c r="Z200" s="39"/>
      <c r="AA200" s="39"/>
      <c r="AB200" s="39"/>
      <c r="AC200" s="40"/>
    </row>
    <row r="201" spans="1:29" ht="18" customHeight="1" x14ac:dyDescent="0.3">
      <c r="A201" s="44">
        <v>197</v>
      </c>
      <c r="B201" s="41" t="str">
        <f>IF(E201&lt;&gt;"",INDEX(Datos!D:D,MATCH(TH!E201,Datos!A:A,0)),"")</f>
        <v/>
      </c>
      <c r="C201" s="41" t="str">
        <f>IF(E201&lt;&gt;"",INDEX(Datos!C:C,MATCH(TH!E201,Datos!A:A,0)),"")</f>
        <v/>
      </c>
      <c r="D201" s="23" t="str">
        <f>IF(E201&lt;&gt;"",INDEX(Datos!B:B,MATCH(TH!E201,Datos!A:A,0)),"")</f>
        <v/>
      </c>
      <c r="E201" s="43"/>
      <c r="F201" s="35"/>
      <c r="G201" s="36">
        <v>2026</v>
      </c>
      <c r="H201" s="37">
        <v>9</v>
      </c>
      <c r="I201" s="62"/>
      <c r="J201" s="52" t="s">
        <v>528</v>
      </c>
      <c r="K201" s="53">
        <v>46154</v>
      </c>
      <c r="L201" s="34" t="s">
        <v>7</v>
      </c>
      <c r="M201" s="38"/>
      <c r="N201" s="38"/>
      <c r="O201" s="38">
        <f t="shared" ref="O201:O255" si="14">+N201-M201</f>
        <v>0</v>
      </c>
      <c r="P201" s="38"/>
      <c r="Q201" s="38"/>
      <c r="R201" s="38"/>
      <c r="S201" s="38"/>
      <c r="T201" s="38"/>
      <c r="U201" s="38">
        <f t="shared" si="13"/>
        <v>0</v>
      </c>
      <c r="V201" s="39"/>
      <c r="W201" s="39"/>
      <c r="X201" s="39"/>
      <c r="Y201" s="39"/>
      <c r="Z201" s="39"/>
      <c r="AA201" s="39"/>
      <c r="AB201" s="39"/>
      <c r="AC201" s="40"/>
    </row>
    <row r="202" spans="1:29" ht="17.25" customHeight="1" x14ac:dyDescent="0.3">
      <c r="A202" s="44">
        <v>198</v>
      </c>
      <c r="B202" s="41" t="str">
        <f>IF(E202&lt;&gt;"",INDEX(Datos!D:D,MATCH(TH!E202,Datos!A:A,0)),"")</f>
        <v/>
      </c>
      <c r="C202" s="41" t="str">
        <f>IF(E202&lt;&gt;"",INDEX(Datos!C:C,MATCH(TH!E202,Datos!A:A,0)),"")</f>
        <v/>
      </c>
      <c r="D202" s="23" t="str">
        <f>IF(E202&lt;&gt;"",INDEX(Datos!B:B,MATCH(TH!E202,Datos!A:A,0)),"")</f>
        <v/>
      </c>
      <c r="E202" s="43"/>
      <c r="F202" s="35"/>
      <c r="G202" s="36">
        <v>2026</v>
      </c>
      <c r="H202" s="37">
        <v>9</v>
      </c>
      <c r="I202" s="62"/>
      <c r="J202" s="52" t="s">
        <v>528</v>
      </c>
      <c r="K202" s="53">
        <v>46154</v>
      </c>
      <c r="L202" s="34" t="s">
        <v>7</v>
      </c>
      <c r="M202" s="38"/>
      <c r="N202" s="38"/>
      <c r="O202" s="38">
        <f t="shared" si="14"/>
        <v>0</v>
      </c>
      <c r="P202" s="38"/>
      <c r="Q202" s="38"/>
      <c r="R202" s="38"/>
      <c r="S202" s="38"/>
      <c r="T202" s="38"/>
      <c r="U202" s="38">
        <f t="shared" si="13"/>
        <v>0</v>
      </c>
      <c r="V202" s="39"/>
      <c r="W202" s="39"/>
      <c r="X202" s="39"/>
      <c r="Y202" s="39"/>
      <c r="Z202" s="39"/>
      <c r="AA202" s="39"/>
      <c r="AB202" s="39"/>
      <c r="AC202" s="40"/>
    </row>
    <row r="203" spans="1:29" ht="18" customHeight="1" x14ac:dyDescent="0.3">
      <c r="A203" s="45">
        <v>199</v>
      </c>
      <c r="B203" s="41" t="str">
        <f>IF(E203&lt;&gt;"",INDEX(Datos!D:D,MATCH(TH!E203,Datos!A:A,0)),"")</f>
        <v/>
      </c>
      <c r="C203" s="41" t="str">
        <f>IF(E203&lt;&gt;"",INDEX(Datos!C:C,MATCH(TH!E203,Datos!A:A,0)),"")</f>
        <v/>
      </c>
      <c r="D203" s="23" t="str">
        <f>IF(E203&lt;&gt;"",INDEX(Datos!B:B,MATCH(TH!E203,Datos!A:A,0)),"")</f>
        <v/>
      </c>
      <c r="E203"/>
      <c r="F203" s="35"/>
      <c r="G203" s="36">
        <v>2026</v>
      </c>
      <c r="H203" s="37">
        <v>9</v>
      </c>
      <c r="I203" s="62"/>
      <c r="J203" s="52" t="s">
        <v>528</v>
      </c>
      <c r="K203" s="53">
        <v>46154</v>
      </c>
      <c r="L203" s="34" t="s">
        <v>7</v>
      </c>
      <c r="M203" s="38"/>
      <c r="N203" s="38"/>
      <c r="O203" s="38">
        <f t="shared" si="14"/>
        <v>0</v>
      </c>
      <c r="P203" s="38"/>
      <c r="Q203" s="38"/>
      <c r="R203" s="38"/>
      <c r="S203" s="38"/>
      <c r="T203" s="38"/>
      <c r="U203" s="38">
        <f t="shared" si="13"/>
        <v>0</v>
      </c>
      <c r="V203" s="39"/>
      <c r="W203" s="39"/>
      <c r="X203" s="39"/>
      <c r="Y203" s="39"/>
      <c r="Z203" s="39"/>
      <c r="AA203" s="39"/>
      <c r="AB203" s="39"/>
      <c r="AC203" s="40"/>
    </row>
    <row r="204" spans="1:29" ht="18" customHeight="1" x14ac:dyDescent="0.3">
      <c r="A204" s="44">
        <v>200</v>
      </c>
      <c r="B204" s="41" t="str">
        <f>IF(E204&lt;&gt;"",INDEX(Datos!D:D,MATCH(TH!E204,Datos!A:A,0)),"")</f>
        <v/>
      </c>
      <c r="C204" s="41" t="str">
        <f>IF(E204&lt;&gt;"",INDEX(Datos!C:C,MATCH(TH!E204,Datos!A:A,0)),"")</f>
        <v/>
      </c>
      <c r="D204" s="23" t="str">
        <f>IF(E204&lt;&gt;"",INDEX(Datos!B:B,MATCH(TH!E204,Datos!A:A,0)),"")</f>
        <v/>
      </c>
      <c r="E204"/>
      <c r="F204" s="35"/>
      <c r="G204" s="36">
        <v>2026</v>
      </c>
      <c r="H204" s="37">
        <v>9</v>
      </c>
      <c r="I204" s="62"/>
      <c r="J204" s="52" t="s">
        <v>528</v>
      </c>
      <c r="K204" s="53">
        <v>46154</v>
      </c>
      <c r="L204" s="34" t="s">
        <v>7</v>
      </c>
      <c r="M204" s="38"/>
      <c r="N204" s="38"/>
      <c r="O204" s="38">
        <f t="shared" si="14"/>
        <v>0</v>
      </c>
      <c r="P204" s="38"/>
      <c r="Q204" s="38"/>
      <c r="R204" s="38"/>
      <c r="S204" s="38"/>
      <c r="T204" s="38"/>
      <c r="U204" s="38">
        <f t="shared" si="13"/>
        <v>0</v>
      </c>
      <c r="V204" s="39"/>
      <c r="W204" s="39"/>
      <c r="X204" s="39"/>
      <c r="Y204" s="39"/>
      <c r="Z204" s="39"/>
      <c r="AA204" s="39"/>
      <c r="AB204" s="39"/>
      <c r="AC204" s="40"/>
    </row>
    <row r="205" spans="1:29" ht="18" customHeight="1" x14ac:dyDescent="0.3">
      <c r="A205" s="45">
        <v>201</v>
      </c>
      <c r="B205" s="41" t="str">
        <f>IF(E205&lt;&gt;"",INDEX(Datos!D:D,MATCH(TH!E205,Datos!A:A,0)),"")</f>
        <v/>
      </c>
      <c r="C205" s="41" t="str">
        <f>IF(E205&lt;&gt;"",INDEX(Datos!C:C,MATCH(TH!E205,Datos!A:A,0)),"")</f>
        <v/>
      </c>
      <c r="D205" s="23" t="str">
        <f>IF(E205&lt;&gt;"",INDEX(Datos!B:B,MATCH(TH!E205,Datos!A:A,0)),"")</f>
        <v/>
      </c>
      <c r="E205"/>
      <c r="F205" s="35"/>
      <c r="G205" s="36">
        <v>2026</v>
      </c>
      <c r="H205" s="37">
        <v>9</v>
      </c>
      <c r="I205" s="62"/>
      <c r="J205" s="52" t="s">
        <v>528</v>
      </c>
      <c r="K205" s="53">
        <v>46154</v>
      </c>
      <c r="L205" s="34" t="s">
        <v>7</v>
      </c>
      <c r="M205" s="38"/>
      <c r="N205" s="38"/>
      <c r="O205" s="38">
        <f t="shared" si="14"/>
        <v>0</v>
      </c>
      <c r="P205" s="38"/>
      <c r="Q205" s="38"/>
      <c r="R205" s="38"/>
      <c r="S205" s="38"/>
      <c r="T205" s="38"/>
      <c r="U205" s="38">
        <f>(Q205-P205)+(T205-S205)-R205</f>
        <v>0</v>
      </c>
      <c r="V205" s="39"/>
      <c r="W205" s="39"/>
      <c r="X205" s="39"/>
      <c r="Y205" s="39"/>
      <c r="Z205" s="39"/>
      <c r="AA205" s="39"/>
      <c r="AB205" s="39"/>
      <c r="AC205" s="40"/>
    </row>
    <row r="206" spans="1:29" ht="18" customHeight="1" x14ac:dyDescent="0.3">
      <c r="A206" s="45">
        <v>202</v>
      </c>
      <c r="B206" s="41" t="str">
        <f>IF(E206&lt;&gt;"",INDEX(Datos!D:D,MATCH(TH!E206,Datos!A:A,0)),"")</f>
        <v/>
      </c>
      <c r="C206" s="41" t="str">
        <f>IF(E206&lt;&gt;"",INDEX(Datos!C:C,MATCH(TH!E206,Datos!A:A,0)),"")</f>
        <v/>
      </c>
      <c r="D206" s="23" t="str">
        <f>IF(E206&lt;&gt;"",INDEX(Datos!B:B,MATCH(TH!E206,Datos!A:A,0)),"")</f>
        <v/>
      </c>
      <c r="E206"/>
      <c r="F206" s="35"/>
      <c r="G206" s="36">
        <v>2026</v>
      </c>
      <c r="H206" s="37">
        <v>9</v>
      </c>
      <c r="I206" s="62"/>
      <c r="J206" s="52" t="s">
        <v>528</v>
      </c>
      <c r="K206" s="53">
        <v>46154</v>
      </c>
      <c r="L206" s="34" t="s">
        <v>7</v>
      </c>
      <c r="M206" s="38"/>
      <c r="N206" s="38"/>
      <c r="O206" s="38">
        <f t="shared" si="14"/>
        <v>0</v>
      </c>
      <c r="P206" s="38"/>
      <c r="Q206" s="38"/>
      <c r="R206" s="38"/>
      <c r="S206" s="38"/>
      <c r="T206" s="61"/>
      <c r="U206" s="38">
        <f t="shared" si="13"/>
        <v>0</v>
      </c>
      <c r="V206" s="39"/>
      <c r="W206" s="39"/>
      <c r="X206" s="39"/>
      <c r="Y206" s="39"/>
      <c r="Z206" s="39"/>
      <c r="AA206" s="39"/>
      <c r="AB206" s="39"/>
      <c r="AC206" s="40"/>
    </row>
    <row r="207" spans="1:29" ht="18" customHeight="1" x14ac:dyDescent="0.3">
      <c r="A207" s="44">
        <v>203</v>
      </c>
      <c r="B207" s="41" t="str">
        <f>IF(E207&lt;&gt;"",INDEX(Datos!D:D,MATCH(TH!E207,Datos!A:A,0)),"")</f>
        <v/>
      </c>
      <c r="C207" s="41" t="str">
        <f>IF(E207&lt;&gt;"",INDEX(Datos!C:C,MATCH(TH!E207,Datos!A:A,0)),"")</f>
        <v/>
      </c>
      <c r="D207" s="23" t="str">
        <f>IF(E207&lt;&gt;"",INDEX(Datos!B:B,MATCH(TH!E207,Datos!A:A,0)),"")</f>
        <v/>
      </c>
      <c r="E207"/>
      <c r="F207" s="35"/>
      <c r="G207" s="36">
        <v>2026</v>
      </c>
      <c r="H207" s="37">
        <v>9</v>
      </c>
      <c r="I207" s="62"/>
      <c r="J207" s="52" t="s">
        <v>528</v>
      </c>
      <c r="K207" s="53">
        <v>46154</v>
      </c>
      <c r="L207" s="34" t="s">
        <v>7</v>
      </c>
      <c r="M207" s="38"/>
      <c r="N207" s="38"/>
      <c r="O207" s="38">
        <f t="shared" si="14"/>
        <v>0</v>
      </c>
      <c r="P207" s="38"/>
      <c r="Q207" s="38"/>
      <c r="R207" s="38"/>
      <c r="S207" s="38"/>
      <c r="T207" s="38"/>
      <c r="U207" s="38">
        <f t="shared" ref="U207:U255" si="15">(Q207-P207)+(T207-S207)-R207</f>
        <v>0</v>
      </c>
      <c r="V207" s="39"/>
      <c r="W207" s="39"/>
      <c r="X207" s="39"/>
      <c r="Y207" s="39"/>
      <c r="Z207" s="39"/>
      <c r="AA207" s="39"/>
      <c r="AB207" s="39"/>
      <c r="AC207" s="40"/>
    </row>
    <row r="208" spans="1:29" ht="18" customHeight="1" x14ac:dyDescent="0.3">
      <c r="A208" s="44">
        <v>204</v>
      </c>
      <c r="B208" s="41" t="str">
        <f>IF(E208&lt;&gt;"",INDEX(Datos!D:D,MATCH(TH!E208,Datos!A:A,0)),"")</f>
        <v/>
      </c>
      <c r="C208" s="41" t="str">
        <f>IF(E208&lt;&gt;"",INDEX(Datos!C:C,MATCH(TH!E208,Datos!A:A,0)),"")</f>
        <v/>
      </c>
      <c r="D208" s="23" t="str">
        <f>IF(E208&lt;&gt;"",INDEX(Datos!B:B,MATCH(TH!E208,Datos!A:A,0)),"")</f>
        <v/>
      </c>
      <c r="E208"/>
      <c r="F208" s="35"/>
      <c r="G208" s="36">
        <v>2026</v>
      </c>
      <c r="H208" s="37">
        <v>9</v>
      </c>
      <c r="I208" s="62"/>
      <c r="J208" s="52" t="s">
        <v>528</v>
      </c>
      <c r="K208" s="53">
        <v>46154</v>
      </c>
      <c r="L208" s="34" t="s">
        <v>7</v>
      </c>
      <c r="M208" s="38"/>
      <c r="N208" s="38"/>
      <c r="O208" s="38">
        <f t="shared" si="14"/>
        <v>0</v>
      </c>
      <c r="P208" s="38"/>
      <c r="Q208" s="38"/>
      <c r="R208" s="38"/>
      <c r="S208" s="38"/>
      <c r="T208" s="61"/>
      <c r="U208" s="38">
        <f>(Q208-P208)+(T208-S208)-R208</f>
        <v>0</v>
      </c>
      <c r="V208" s="39"/>
      <c r="W208" s="39"/>
      <c r="X208" s="39"/>
      <c r="Y208" s="39"/>
      <c r="Z208" s="39"/>
      <c r="AA208" s="39"/>
      <c r="AB208" s="39"/>
      <c r="AC208" s="40"/>
    </row>
    <row r="209" spans="1:29" ht="18" customHeight="1" x14ac:dyDescent="0.3">
      <c r="A209" s="45">
        <v>205</v>
      </c>
      <c r="B209" s="41" t="str">
        <f>IF(E209&lt;&gt;"",INDEX(Datos!D:D,MATCH(TH!E209,Datos!A:A,0)),"")</f>
        <v/>
      </c>
      <c r="C209" s="41" t="str">
        <f>IF(E209&lt;&gt;"",INDEX(Datos!C:C,MATCH(TH!E209,Datos!A:A,0)),"")</f>
        <v/>
      </c>
      <c r="D209" s="23" t="str">
        <f>IF(E209&lt;&gt;"",INDEX(Datos!B:B,MATCH(TH!E209,Datos!A:A,0)),"")</f>
        <v/>
      </c>
      <c r="E209" s="43"/>
      <c r="F209" s="35"/>
      <c r="G209" s="36">
        <v>2026</v>
      </c>
      <c r="H209" s="37">
        <v>9</v>
      </c>
      <c r="I209" s="62"/>
      <c r="J209" s="52" t="s">
        <v>528</v>
      </c>
      <c r="K209" s="53">
        <v>46154</v>
      </c>
      <c r="L209" s="34" t="s">
        <v>7</v>
      </c>
      <c r="M209" s="38"/>
      <c r="N209" s="38"/>
      <c r="O209" s="38">
        <f t="shared" si="14"/>
        <v>0</v>
      </c>
      <c r="P209" s="38"/>
      <c r="Q209" s="38"/>
      <c r="R209" s="38"/>
      <c r="S209" s="38"/>
      <c r="T209" s="38"/>
      <c r="U209" s="38">
        <f t="shared" si="15"/>
        <v>0</v>
      </c>
      <c r="V209" s="39"/>
      <c r="W209" s="39"/>
      <c r="X209" s="39"/>
      <c r="Y209" s="39"/>
      <c r="Z209" s="39"/>
      <c r="AA209" s="39"/>
      <c r="AB209" s="39"/>
      <c r="AC209" s="40"/>
    </row>
    <row r="210" spans="1:29" ht="18" customHeight="1" x14ac:dyDescent="0.3">
      <c r="A210" s="44">
        <v>206</v>
      </c>
      <c r="B210" s="41" t="str">
        <f>IF(E210&lt;&gt;"",INDEX(Datos!D:D,MATCH(TH!E210,Datos!A:A,0)),"")</f>
        <v/>
      </c>
      <c r="C210" s="41" t="str">
        <f>IF(E210&lt;&gt;"",INDEX(Datos!C:C,MATCH(TH!E210,Datos!A:A,0)),"")</f>
        <v/>
      </c>
      <c r="D210" s="23" t="str">
        <f>IF(E210&lt;&gt;"",INDEX(Datos!B:B,MATCH(TH!E210,Datos!A:A,0)),"")</f>
        <v/>
      </c>
      <c r="E210" s="43"/>
      <c r="F210" s="35"/>
      <c r="G210" s="36">
        <v>2026</v>
      </c>
      <c r="H210" s="37">
        <v>9</v>
      </c>
      <c r="I210" s="62"/>
      <c r="J210" s="52" t="s">
        <v>528</v>
      </c>
      <c r="K210" s="53">
        <v>46154</v>
      </c>
      <c r="L210" s="34" t="s">
        <v>7</v>
      </c>
      <c r="M210" s="38"/>
      <c r="N210" s="38"/>
      <c r="O210" s="38">
        <f t="shared" si="14"/>
        <v>0</v>
      </c>
      <c r="P210" s="38"/>
      <c r="Q210" s="38"/>
      <c r="R210" s="38"/>
      <c r="S210" s="38"/>
      <c r="T210" s="38"/>
      <c r="U210" s="38">
        <f t="shared" si="15"/>
        <v>0</v>
      </c>
      <c r="V210" s="39"/>
      <c r="W210" s="39"/>
      <c r="X210" s="39"/>
      <c r="Y210" s="39"/>
      <c r="Z210" s="39"/>
      <c r="AA210" s="39"/>
      <c r="AB210" s="39"/>
      <c r="AC210" s="40"/>
    </row>
    <row r="211" spans="1:29" ht="18" customHeight="1" x14ac:dyDescent="0.3">
      <c r="A211" s="45">
        <v>207</v>
      </c>
      <c r="B211" s="41" t="str">
        <f>IF(E211&lt;&gt;"",INDEX(Datos!D:D,MATCH(TH!E211,Datos!A:A,0)),"")</f>
        <v/>
      </c>
      <c r="C211" s="41" t="str">
        <f>IF(E211&lt;&gt;"",INDEX(Datos!C:C,MATCH(TH!E211,Datos!A:A,0)),"")</f>
        <v/>
      </c>
      <c r="D211" s="23" t="str">
        <f>IF(E211&lt;&gt;"",INDEX(Datos!B:B,MATCH(TH!E211,Datos!A:A,0)),"")</f>
        <v/>
      </c>
      <c r="E211" s="43"/>
      <c r="F211" s="35"/>
      <c r="G211" s="36">
        <v>2026</v>
      </c>
      <c r="H211" s="37">
        <v>9</v>
      </c>
      <c r="I211" s="62"/>
      <c r="J211" s="52" t="s">
        <v>528</v>
      </c>
      <c r="K211" s="53">
        <v>46154</v>
      </c>
      <c r="L211" s="34" t="s">
        <v>7</v>
      </c>
      <c r="M211" s="38"/>
      <c r="N211" s="38"/>
      <c r="O211" s="38">
        <f t="shared" si="14"/>
        <v>0</v>
      </c>
      <c r="P211" s="38"/>
      <c r="Q211" s="38"/>
      <c r="R211" s="38"/>
      <c r="S211" s="38"/>
      <c r="T211" s="38"/>
      <c r="U211" s="38">
        <f t="shared" si="15"/>
        <v>0</v>
      </c>
      <c r="V211" s="39"/>
      <c r="W211" s="39"/>
      <c r="X211" s="39"/>
      <c r="Y211" s="39"/>
      <c r="Z211" s="39"/>
      <c r="AA211" s="39"/>
      <c r="AB211" s="39"/>
      <c r="AC211" s="40"/>
    </row>
    <row r="212" spans="1:29" ht="18" customHeight="1" x14ac:dyDescent="0.3">
      <c r="A212" s="45">
        <v>208</v>
      </c>
      <c r="B212" s="41" t="str">
        <f>IF(E212&lt;&gt;"",INDEX(Datos!D:D,MATCH(TH!E212,Datos!A:A,0)),"")</f>
        <v/>
      </c>
      <c r="C212" s="41" t="str">
        <f>IF(E212&lt;&gt;"",INDEX(Datos!C:C,MATCH(TH!E212,Datos!A:A,0)),"")</f>
        <v/>
      </c>
      <c r="D212" s="23" t="str">
        <f>IF(E212&lt;&gt;"",INDEX(Datos!B:B,MATCH(TH!E212,Datos!A:A,0)),"")</f>
        <v/>
      </c>
      <c r="E212" s="43"/>
      <c r="F212" s="35"/>
      <c r="G212" s="36">
        <v>2026</v>
      </c>
      <c r="H212" s="37">
        <v>9</v>
      </c>
      <c r="I212" s="62"/>
      <c r="J212" s="52" t="s">
        <v>528</v>
      </c>
      <c r="K212" s="53">
        <v>46154</v>
      </c>
      <c r="L212" s="34" t="s">
        <v>7</v>
      </c>
      <c r="M212" s="38"/>
      <c r="N212" s="38"/>
      <c r="O212" s="38">
        <f t="shared" si="14"/>
        <v>0</v>
      </c>
      <c r="P212" s="38"/>
      <c r="Q212" s="38"/>
      <c r="R212" s="38"/>
      <c r="S212" s="38"/>
      <c r="T212" s="38"/>
      <c r="U212" s="38">
        <f t="shared" si="15"/>
        <v>0</v>
      </c>
      <c r="V212" s="39"/>
      <c r="W212" s="39"/>
      <c r="X212" s="39"/>
      <c r="Y212" s="39"/>
      <c r="Z212" s="39"/>
      <c r="AA212" s="39"/>
      <c r="AB212" s="39"/>
      <c r="AC212" s="40"/>
    </row>
    <row r="213" spans="1:29" ht="18" customHeight="1" x14ac:dyDescent="0.3">
      <c r="A213" s="44">
        <v>209</v>
      </c>
      <c r="B213" s="41" t="str">
        <f>IF(E213&lt;&gt;"",INDEX(Datos!D:D,MATCH(TH!E213,Datos!A:A,0)),"")</f>
        <v/>
      </c>
      <c r="C213" s="41" t="str">
        <f>IF(E213&lt;&gt;"",INDEX(Datos!C:C,MATCH(TH!E213,Datos!A:A,0)),"")</f>
        <v/>
      </c>
      <c r="D213" s="23" t="str">
        <f>IF(E213&lt;&gt;"",INDEX(Datos!B:B,MATCH(TH!E213,Datos!A:A,0)),"")</f>
        <v/>
      </c>
      <c r="E213" s="43"/>
      <c r="F213" s="35"/>
      <c r="G213" s="36">
        <v>2026</v>
      </c>
      <c r="H213" s="37">
        <v>9</v>
      </c>
      <c r="I213" s="62"/>
      <c r="J213" s="52" t="s">
        <v>528</v>
      </c>
      <c r="K213" s="53">
        <v>46154</v>
      </c>
      <c r="L213" s="34" t="s">
        <v>7</v>
      </c>
      <c r="M213" s="38"/>
      <c r="N213" s="38"/>
      <c r="O213" s="38">
        <f t="shared" si="14"/>
        <v>0</v>
      </c>
      <c r="P213" s="38"/>
      <c r="Q213" s="38"/>
      <c r="R213" s="38"/>
      <c r="S213" s="38"/>
      <c r="T213" s="38"/>
      <c r="U213" s="38">
        <f t="shared" si="15"/>
        <v>0</v>
      </c>
      <c r="V213" s="39"/>
      <c r="W213" s="39"/>
      <c r="X213" s="39"/>
      <c r="Y213" s="39"/>
      <c r="Z213" s="39"/>
      <c r="AA213" s="39"/>
      <c r="AB213" s="39"/>
      <c r="AC213" s="40"/>
    </row>
    <row r="214" spans="1:29" ht="18" customHeight="1" x14ac:dyDescent="0.3">
      <c r="A214" s="44">
        <v>210</v>
      </c>
      <c r="B214" s="41" t="str">
        <f>IF(E214&lt;&gt;"",INDEX(Datos!D:D,MATCH(TH!E214,Datos!A:A,0)),"")</f>
        <v/>
      </c>
      <c r="C214" s="41" t="str">
        <f>IF(E214&lt;&gt;"",INDEX(Datos!C:C,MATCH(TH!E214,Datos!A:A,0)),"")</f>
        <v/>
      </c>
      <c r="D214" s="23" t="str">
        <f>IF(E214&lt;&gt;"",INDEX(Datos!B:B,MATCH(TH!E214,Datos!A:A,0)),"")</f>
        <v/>
      </c>
      <c r="E214" s="43"/>
      <c r="F214" s="35"/>
      <c r="G214" s="36">
        <v>2026</v>
      </c>
      <c r="H214" s="37">
        <v>9</v>
      </c>
      <c r="I214" s="62"/>
      <c r="J214" s="52" t="s">
        <v>528</v>
      </c>
      <c r="K214" s="53">
        <v>46154</v>
      </c>
      <c r="L214" s="34" t="s">
        <v>7</v>
      </c>
      <c r="M214" s="38"/>
      <c r="N214" s="38"/>
      <c r="O214" s="38">
        <f t="shared" si="14"/>
        <v>0</v>
      </c>
      <c r="P214" s="38"/>
      <c r="Q214" s="38"/>
      <c r="R214" s="38"/>
      <c r="S214" s="38"/>
      <c r="T214" s="38"/>
      <c r="U214" s="38">
        <f t="shared" si="15"/>
        <v>0</v>
      </c>
      <c r="V214" s="39"/>
      <c r="W214" s="39"/>
      <c r="X214" s="39"/>
      <c r="Y214" s="39"/>
      <c r="Z214" s="39"/>
      <c r="AA214" s="39"/>
      <c r="AB214" s="39"/>
      <c r="AC214" s="40"/>
    </row>
    <row r="215" spans="1:29" ht="18" customHeight="1" x14ac:dyDescent="0.3">
      <c r="A215" s="45">
        <v>211</v>
      </c>
      <c r="B215" s="41" t="str">
        <f>IF(E215&lt;&gt;"",INDEX(Datos!D:D,MATCH(TH!E215,Datos!A:A,0)),"")</f>
        <v/>
      </c>
      <c r="C215" s="41" t="str">
        <f>IF(E215&lt;&gt;"",INDEX(Datos!C:C,MATCH(TH!E215,Datos!A:A,0)),"")</f>
        <v/>
      </c>
      <c r="D215" s="23" t="str">
        <f>IF(E215&lt;&gt;"",INDEX(Datos!B:B,MATCH(TH!E215,Datos!A:A,0)),"")</f>
        <v/>
      </c>
      <c r="E215" s="68"/>
      <c r="F215" s="35"/>
      <c r="G215" s="36">
        <v>2026</v>
      </c>
      <c r="H215" s="37">
        <v>9</v>
      </c>
      <c r="I215" s="62"/>
      <c r="J215" s="52" t="s">
        <v>528</v>
      </c>
      <c r="K215" s="53">
        <v>46154</v>
      </c>
      <c r="L215" s="34" t="s">
        <v>7</v>
      </c>
      <c r="M215" s="38"/>
      <c r="N215" s="61"/>
      <c r="O215" s="38">
        <f t="shared" si="14"/>
        <v>0</v>
      </c>
      <c r="P215" s="38"/>
      <c r="Q215" s="38"/>
      <c r="R215" s="38"/>
      <c r="S215" s="38"/>
      <c r="T215" s="61"/>
      <c r="U215" s="38">
        <f t="shared" si="15"/>
        <v>0</v>
      </c>
      <c r="V215" s="39"/>
      <c r="W215" s="39"/>
      <c r="X215" s="39"/>
      <c r="Y215" s="39"/>
      <c r="Z215" s="39"/>
      <c r="AA215" s="39"/>
      <c r="AB215" s="39"/>
      <c r="AC215" s="40"/>
    </row>
    <row r="216" spans="1:29" ht="18" customHeight="1" x14ac:dyDescent="0.3">
      <c r="A216" s="44">
        <v>212</v>
      </c>
      <c r="B216" s="41" t="str">
        <f>IF(E216&lt;&gt;"",INDEX(Datos!D:D,MATCH(TH!E216,Datos!A:A,0)),"")</f>
        <v/>
      </c>
      <c r="C216" s="41" t="str">
        <f>IF(E216&lt;&gt;"",INDEX(Datos!C:C,MATCH(TH!E216,Datos!A:A,0)),"")</f>
        <v/>
      </c>
      <c r="D216" s="23" t="str">
        <f>IF(E216&lt;&gt;"",INDEX(Datos!B:B,MATCH(TH!E216,Datos!A:A,0)),"")</f>
        <v/>
      </c>
      <c r="E216" s="68"/>
      <c r="F216" s="35"/>
      <c r="G216" s="36">
        <v>2026</v>
      </c>
      <c r="H216" s="37">
        <v>9</v>
      </c>
      <c r="I216" s="62"/>
      <c r="J216" s="52" t="s">
        <v>528</v>
      </c>
      <c r="K216" s="53">
        <v>46154</v>
      </c>
      <c r="L216" s="34" t="s">
        <v>7</v>
      </c>
      <c r="M216" s="38"/>
      <c r="N216" s="61"/>
      <c r="O216" s="38">
        <f t="shared" si="14"/>
        <v>0</v>
      </c>
      <c r="P216" s="38"/>
      <c r="Q216" s="38"/>
      <c r="R216" s="38"/>
      <c r="S216" s="38"/>
      <c r="T216" s="61"/>
      <c r="U216" s="38">
        <f t="shared" si="15"/>
        <v>0</v>
      </c>
      <c r="V216" s="39"/>
      <c r="W216" s="39"/>
      <c r="X216" s="39"/>
      <c r="Y216" s="39"/>
      <c r="Z216" s="39"/>
      <c r="AA216" s="39"/>
      <c r="AB216" s="39"/>
      <c r="AC216" s="40"/>
    </row>
    <row r="217" spans="1:29" ht="18" customHeight="1" x14ac:dyDescent="0.3">
      <c r="A217" s="45">
        <v>213</v>
      </c>
      <c r="B217" s="41" t="str">
        <f>IF(E217&lt;&gt;"",INDEX(Datos!D:D,MATCH(TH!E217,Datos!A:A,0)),"")</f>
        <v/>
      </c>
      <c r="C217" s="41" t="str">
        <f>IF(E217&lt;&gt;"",INDEX(Datos!C:C,MATCH(TH!E217,Datos!A:A,0)),"")</f>
        <v/>
      </c>
      <c r="D217" s="23" t="str">
        <f>IF(E217&lt;&gt;"",INDEX(Datos!B:B,MATCH(TH!E217,Datos!A:A,0)),"")</f>
        <v/>
      </c>
      <c r="E217" s="43"/>
      <c r="F217" s="35"/>
      <c r="G217" s="36">
        <v>2026</v>
      </c>
      <c r="H217" s="37">
        <v>9</v>
      </c>
      <c r="I217" s="62"/>
      <c r="J217" s="52" t="s">
        <v>528</v>
      </c>
      <c r="K217" s="53">
        <v>46154</v>
      </c>
      <c r="L217" s="34" t="s">
        <v>7</v>
      </c>
      <c r="M217" s="38"/>
      <c r="N217" s="61"/>
      <c r="O217" s="38">
        <f t="shared" si="14"/>
        <v>0</v>
      </c>
      <c r="P217" s="38"/>
      <c r="Q217" s="38"/>
      <c r="R217" s="38"/>
      <c r="S217" s="38"/>
      <c r="T217" s="61"/>
      <c r="U217" s="38">
        <f t="shared" si="15"/>
        <v>0</v>
      </c>
      <c r="V217" s="39"/>
      <c r="W217" s="39"/>
      <c r="X217" s="39"/>
      <c r="Y217" s="39"/>
      <c r="Z217" s="39"/>
      <c r="AA217" s="39"/>
      <c r="AB217" s="39"/>
      <c r="AC217" s="40"/>
    </row>
    <row r="218" spans="1:29" ht="18" customHeight="1" x14ac:dyDescent="0.3">
      <c r="A218" s="45">
        <v>214</v>
      </c>
      <c r="B218" s="41" t="str">
        <f>IF(E218&lt;&gt;"",INDEX(Datos!D:D,MATCH(TH!E218,Datos!A:A,0)),"")</f>
        <v/>
      </c>
      <c r="C218" s="41" t="str">
        <f>IF(E218&lt;&gt;"",INDEX(Datos!C:C,MATCH(TH!E218,Datos!A:A,0)),"")</f>
        <v/>
      </c>
      <c r="D218" s="23" t="str">
        <f>IF(E218&lt;&gt;"",INDEX(Datos!B:B,MATCH(TH!E218,Datos!A:A,0)),"")</f>
        <v/>
      </c>
      <c r="E218" s="43"/>
      <c r="F218" s="35"/>
      <c r="G218" s="36">
        <v>2026</v>
      </c>
      <c r="H218" s="37">
        <v>9</v>
      </c>
      <c r="I218" s="62"/>
      <c r="J218" s="52" t="s">
        <v>528</v>
      </c>
      <c r="K218" s="53">
        <v>46154</v>
      </c>
      <c r="L218" s="34" t="s">
        <v>7</v>
      </c>
      <c r="M218" s="38"/>
      <c r="N218" s="38"/>
      <c r="O218" s="38">
        <f t="shared" si="14"/>
        <v>0</v>
      </c>
      <c r="P218" s="38"/>
      <c r="Q218" s="38"/>
      <c r="R218" s="38"/>
      <c r="S218" s="38"/>
      <c r="T218" s="61"/>
      <c r="U218" s="38">
        <f t="shared" si="15"/>
        <v>0</v>
      </c>
      <c r="V218" s="39"/>
      <c r="W218" s="39"/>
      <c r="X218" s="39"/>
      <c r="Y218" s="39"/>
      <c r="Z218" s="39"/>
      <c r="AA218" s="39"/>
      <c r="AB218" s="39"/>
      <c r="AC218" s="40"/>
    </row>
    <row r="219" spans="1:29" ht="18" customHeight="1" x14ac:dyDescent="0.3">
      <c r="A219" s="44">
        <v>215</v>
      </c>
      <c r="B219" s="41" t="str">
        <f>IF(E219&lt;&gt;"",INDEX(Datos!D:D,MATCH(TH!E219,Datos!A:A,0)),"")</f>
        <v/>
      </c>
      <c r="C219" s="41" t="str">
        <f>IF(E219&lt;&gt;"",INDEX(Datos!C:C,MATCH(TH!E219,Datos!A:A,0)),"")</f>
        <v/>
      </c>
      <c r="D219" s="23" t="str">
        <f>IF(E219&lt;&gt;"",INDEX(Datos!B:B,MATCH(TH!E219,Datos!A:A,0)),"")</f>
        <v/>
      </c>
      <c r="E219" s="43"/>
      <c r="F219" s="35"/>
      <c r="G219" s="36">
        <v>2026</v>
      </c>
      <c r="H219" s="37">
        <v>9</v>
      </c>
      <c r="I219" s="62"/>
      <c r="J219" s="52" t="s">
        <v>528</v>
      </c>
      <c r="K219" s="53">
        <v>46154</v>
      </c>
      <c r="L219" s="34" t="s">
        <v>7</v>
      </c>
      <c r="M219" s="38"/>
      <c r="N219" s="38"/>
      <c r="O219" s="38">
        <f t="shared" si="14"/>
        <v>0</v>
      </c>
      <c r="P219" s="38"/>
      <c r="Q219" s="38"/>
      <c r="R219" s="38"/>
      <c r="S219" s="38"/>
      <c r="T219" s="38"/>
      <c r="U219" s="38">
        <f t="shared" si="15"/>
        <v>0</v>
      </c>
      <c r="V219" s="39"/>
      <c r="W219" s="39"/>
      <c r="X219" s="39"/>
      <c r="Y219" s="39"/>
      <c r="Z219" s="39"/>
      <c r="AA219" s="39"/>
      <c r="AB219" s="39"/>
      <c r="AC219" s="7"/>
    </row>
    <row r="220" spans="1:29" ht="18" customHeight="1" x14ac:dyDescent="0.3">
      <c r="A220" s="44">
        <v>216</v>
      </c>
      <c r="B220" s="41" t="str">
        <f>IF(E220&lt;&gt;"",INDEX(Datos!D:D,MATCH(TH!E220,Datos!A:A,0)),"")</f>
        <v/>
      </c>
      <c r="C220" s="41" t="str">
        <f>IF(E220&lt;&gt;"",INDEX(Datos!C:C,MATCH(TH!E220,Datos!A:A,0)),"")</f>
        <v/>
      </c>
      <c r="D220" s="23" t="str">
        <f>IF(E220&lt;&gt;"",INDEX(Datos!B:B,MATCH(TH!E220,Datos!A:A,0)),"")</f>
        <v/>
      </c>
      <c r="E220" s="43"/>
      <c r="F220" s="35"/>
      <c r="G220" s="36">
        <v>2026</v>
      </c>
      <c r="H220" s="37">
        <v>9</v>
      </c>
      <c r="I220" s="62"/>
      <c r="J220" s="52" t="s">
        <v>528</v>
      </c>
      <c r="K220" s="53">
        <v>46154</v>
      </c>
      <c r="L220" s="34" t="s">
        <v>7</v>
      </c>
      <c r="M220" s="38"/>
      <c r="N220" s="38"/>
      <c r="O220" s="38">
        <f t="shared" si="14"/>
        <v>0</v>
      </c>
      <c r="P220" s="38"/>
      <c r="Q220" s="38"/>
      <c r="R220" s="38"/>
      <c r="S220" s="38"/>
      <c r="T220" s="38"/>
      <c r="U220" s="38">
        <f t="shared" si="15"/>
        <v>0</v>
      </c>
      <c r="V220" s="39"/>
      <c r="W220" s="39"/>
      <c r="X220" s="39"/>
      <c r="Y220" s="39"/>
      <c r="Z220" s="39"/>
      <c r="AA220" s="39"/>
      <c r="AB220" s="39"/>
      <c r="AC220" s="7"/>
    </row>
    <row r="221" spans="1:29" ht="18" customHeight="1" x14ac:dyDescent="0.3">
      <c r="A221" s="45">
        <v>217</v>
      </c>
      <c r="B221" s="41" t="str">
        <f>IF(E221&lt;&gt;"",INDEX(Datos!D:D,MATCH(TH!E221,Datos!A:A,0)),"")</f>
        <v/>
      </c>
      <c r="C221" s="41" t="str">
        <f>IF(E221&lt;&gt;"",INDEX(Datos!C:C,MATCH(TH!E221,Datos!A:A,0)),"")</f>
        <v/>
      </c>
      <c r="D221" s="23" t="str">
        <f>IF(E221&lt;&gt;"",INDEX(Datos!B:B,MATCH(TH!E221,Datos!A:A,0)),"")</f>
        <v/>
      </c>
      <c r="E221" s="43"/>
      <c r="F221" s="35"/>
      <c r="G221" s="36">
        <v>2026</v>
      </c>
      <c r="H221" s="37">
        <v>9</v>
      </c>
      <c r="I221" s="62"/>
      <c r="J221" s="52" t="s">
        <v>528</v>
      </c>
      <c r="K221" s="53">
        <v>46154</v>
      </c>
      <c r="L221" s="34" t="s">
        <v>7</v>
      </c>
      <c r="M221" s="38"/>
      <c r="N221" s="38"/>
      <c r="O221" s="38">
        <f t="shared" si="14"/>
        <v>0</v>
      </c>
      <c r="P221" s="38"/>
      <c r="Q221" s="38"/>
      <c r="R221" s="38"/>
      <c r="S221" s="38"/>
      <c r="T221" s="38"/>
      <c r="U221" s="38">
        <f t="shared" si="15"/>
        <v>0</v>
      </c>
      <c r="V221" s="39"/>
      <c r="W221" s="39"/>
      <c r="X221" s="39"/>
      <c r="Y221" s="39"/>
      <c r="Z221" s="39"/>
      <c r="AA221" s="39"/>
      <c r="AB221" s="39"/>
      <c r="AC221" s="7"/>
    </row>
    <row r="222" spans="1:29" ht="18" customHeight="1" x14ac:dyDescent="0.3">
      <c r="A222" s="44">
        <v>218</v>
      </c>
      <c r="B222" s="41" t="str">
        <f>IF(E222&lt;&gt;"",INDEX(Datos!D:D,MATCH(TH!E222,Datos!A:A,0)),"")</f>
        <v/>
      </c>
      <c r="C222" s="41" t="str">
        <f>IF(E222&lt;&gt;"",INDEX(Datos!C:C,MATCH(TH!E222,Datos!A:A,0)),"")</f>
        <v/>
      </c>
      <c r="D222" s="23" t="str">
        <f>IF(E222&lt;&gt;"",INDEX(Datos!B:B,MATCH(TH!E222,Datos!A:A,0)),"")</f>
        <v/>
      </c>
      <c r="E222" s="43"/>
      <c r="F222" s="35"/>
      <c r="G222" s="36">
        <v>2026</v>
      </c>
      <c r="H222" s="37">
        <v>9</v>
      </c>
      <c r="I222" s="62"/>
      <c r="J222" s="52" t="s">
        <v>528</v>
      </c>
      <c r="K222" s="53">
        <v>46154</v>
      </c>
      <c r="L222" s="34" t="s">
        <v>7</v>
      </c>
      <c r="M222" s="38"/>
      <c r="N222" s="38"/>
      <c r="O222" s="38">
        <f t="shared" si="14"/>
        <v>0</v>
      </c>
      <c r="P222" s="38"/>
      <c r="Q222" s="38"/>
      <c r="R222" s="38"/>
      <c r="S222" s="38"/>
      <c r="T222" s="38"/>
      <c r="U222" s="38">
        <f t="shared" si="15"/>
        <v>0</v>
      </c>
      <c r="V222" s="39"/>
      <c r="W222" s="39"/>
      <c r="X222" s="39"/>
      <c r="Y222" s="39"/>
      <c r="Z222" s="39"/>
      <c r="AA222" s="39"/>
      <c r="AB222" s="39"/>
      <c r="AC222" s="7"/>
    </row>
    <row r="223" spans="1:29" ht="18" customHeight="1" x14ac:dyDescent="0.3">
      <c r="A223" s="45">
        <v>219</v>
      </c>
      <c r="B223" s="41" t="str">
        <f>IF(E223&lt;&gt;"",INDEX(Datos!D:D,MATCH(TH!E223,Datos!A:A,0)),"")</f>
        <v/>
      </c>
      <c r="C223" s="41" t="str">
        <f>IF(E223&lt;&gt;"",INDEX(Datos!C:C,MATCH(TH!E223,Datos!A:A,0)),"")</f>
        <v/>
      </c>
      <c r="D223" s="23" t="str">
        <f>IF(E223&lt;&gt;"",INDEX(Datos!B:B,MATCH(TH!E223,Datos!A:A,0)),"")</f>
        <v/>
      </c>
      <c r="E223" s="43"/>
      <c r="F223" s="35"/>
      <c r="G223" s="36">
        <v>2026</v>
      </c>
      <c r="H223" s="37">
        <v>9</v>
      </c>
      <c r="I223" s="62"/>
      <c r="J223" s="52" t="s">
        <v>528</v>
      </c>
      <c r="K223" s="53">
        <v>46154</v>
      </c>
      <c r="L223" s="34" t="s">
        <v>7</v>
      </c>
      <c r="M223" s="38"/>
      <c r="N223" s="38"/>
      <c r="O223" s="38">
        <f t="shared" si="14"/>
        <v>0</v>
      </c>
      <c r="P223" s="38"/>
      <c r="Q223" s="38"/>
      <c r="R223" s="38"/>
      <c r="S223" s="38"/>
      <c r="T223" s="61"/>
      <c r="U223" s="38">
        <f t="shared" si="15"/>
        <v>0</v>
      </c>
      <c r="V223" s="39"/>
      <c r="W223" s="39"/>
      <c r="X223" s="39"/>
      <c r="Y223" s="39"/>
      <c r="Z223" s="39"/>
      <c r="AA223" s="39"/>
      <c r="AB223" s="39"/>
      <c r="AC223" s="7"/>
    </row>
    <row r="224" spans="1:29" ht="18" customHeight="1" x14ac:dyDescent="0.3">
      <c r="A224" s="45">
        <v>220</v>
      </c>
      <c r="B224" s="41" t="str">
        <f>IF(E224&lt;&gt;"",INDEX(Datos!D:D,MATCH(TH!E224,Datos!A:A,0)),"")</f>
        <v/>
      </c>
      <c r="C224" s="41" t="str">
        <f>IF(E224&lt;&gt;"",INDEX(Datos!C:C,MATCH(TH!E224,Datos!A:A,0)),"")</f>
        <v/>
      </c>
      <c r="D224" s="23" t="str">
        <f>IF(E224&lt;&gt;"",INDEX(Datos!B:B,MATCH(TH!E224,Datos!A:A,0)),"")</f>
        <v/>
      </c>
      <c r="E224" s="68"/>
      <c r="F224" s="35"/>
      <c r="G224" s="36">
        <v>2026</v>
      </c>
      <c r="H224" s="37">
        <v>9</v>
      </c>
      <c r="I224" s="62"/>
      <c r="J224" s="52" t="s">
        <v>528</v>
      </c>
      <c r="K224" s="53">
        <v>46154</v>
      </c>
      <c r="L224" s="34" t="s">
        <v>7</v>
      </c>
      <c r="M224" s="38"/>
      <c r="N224" s="38"/>
      <c r="O224" s="38">
        <f t="shared" si="14"/>
        <v>0</v>
      </c>
      <c r="P224" s="38"/>
      <c r="Q224" s="38"/>
      <c r="R224" s="38"/>
      <c r="S224" s="38"/>
      <c r="T224" s="38"/>
      <c r="U224" s="38">
        <f t="shared" si="15"/>
        <v>0</v>
      </c>
      <c r="V224" s="39"/>
      <c r="W224" s="39"/>
      <c r="X224" s="39"/>
      <c r="Y224" s="39"/>
      <c r="Z224" s="39"/>
      <c r="AA224" s="39"/>
      <c r="AB224" s="39"/>
      <c r="AC224" s="7"/>
    </row>
    <row r="225" spans="1:29" ht="18" customHeight="1" x14ac:dyDescent="0.3">
      <c r="A225" s="44">
        <v>221</v>
      </c>
      <c r="B225" s="41" t="str">
        <f>IF(E225&lt;&gt;"",INDEX(Datos!D:D,MATCH(TH!E225,Datos!A:A,0)),"")</f>
        <v/>
      </c>
      <c r="C225" s="41" t="str">
        <f>IF(E225&lt;&gt;"",INDEX(Datos!C:C,MATCH(TH!E225,Datos!A:A,0)),"")</f>
        <v/>
      </c>
      <c r="D225" s="23" t="str">
        <f>IF(E225&lt;&gt;"",INDEX(Datos!B:B,MATCH(TH!E225,Datos!A:A,0)),"")</f>
        <v/>
      </c>
      <c r="E225" s="68"/>
      <c r="F225" s="35"/>
      <c r="G225" s="36">
        <v>2026</v>
      </c>
      <c r="H225" s="37">
        <v>9</v>
      </c>
      <c r="I225" s="62"/>
      <c r="J225" s="52" t="s">
        <v>528</v>
      </c>
      <c r="K225" s="53">
        <v>46154</v>
      </c>
      <c r="L225" s="34" t="s">
        <v>7</v>
      </c>
      <c r="M225" s="38"/>
      <c r="N225" s="38"/>
      <c r="O225" s="38">
        <f t="shared" si="14"/>
        <v>0</v>
      </c>
      <c r="P225" s="38"/>
      <c r="Q225" s="38"/>
      <c r="R225" s="38"/>
      <c r="S225" s="38"/>
      <c r="T225" s="38"/>
      <c r="U225" s="38">
        <f t="shared" si="15"/>
        <v>0</v>
      </c>
      <c r="V225" s="39"/>
      <c r="W225" s="39"/>
      <c r="X225" s="39"/>
      <c r="Y225" s="39"/>
      <c r="Z225" s="39"/>
      <c r="AA225" s="39"/>
      <c r="AB225" s="39"/>
      <c r="AC225" s="7"/>
    </row>
    <row r="226" spans="1:29" ht="18" customHeight="1" x14ac:dyDescent="0.3">
      <c r="A226" s="44">
        <v>222</v>
      </c>
      <c r="B226" s="41" t="str">
        <f>IF(E226&lt;&gt;"",INDEX(Datos!D:D,MATCH(TH!E226,Datos!A:A,0)),"")</f>
        <v/>
      </c>
      <c r="C226" s="41" t="str">
        <f>IF(E226&lt;&gt;"",INDEX(Datos!C:C,MATCH(TH!E226,Datos!A:A,0)),"")</f>
        <v/>
      </c>
      <c r="D226" s="23" t="str">
        <f>IF(E226&lt;&gt;"",INDEX(Datos!B:B,MATCH(TH!E226,Datos!A:A,0)),"")</f>
        <v/>
      </c>
      <c r="E226"/>
      <c r="F226" s="35"/>
      <c r="G226" s="36">
        <v>2026</v>
      </c>
      <c r="H226" s="37">
        <v>9</v>
      </c>
      <c r="I226" s="62"/>
      <c r="J226" s="52" t="s">
        <v>528</v>
      </c>
      <c r="K226" s="53">
        <v>46154</v>
      </c>
      <c r="L226" s="34" t="s">
        <v>7</v>
      </c>
      <c r="M226" s="38"/>
      <c r="N226" s="38"/>
      <c r="O226" s="38">
        <f t="shared" si="14"/>
        <v>0</v>
      </c>
      <c r="P226" s="38"/>
      <c r="Q226" s="38"/>
      <c r="R226" s="38"/>
      <c r="S226" s="38"/>
      <c r="T226" s="38"/>
      <c r="U226" s="38">
        <f t="shared" si="15"/>
        <v>0</v>
      </c>
      <c r="V226" s="39"/>
      <c r="W226" s="39"/>
      <c r="X226" s="39"/>
      <c r="Y226" s="39"/>
      <c r="Z226" s="39"/>
      <c r="AA226" s="39"/>
      <c r="AB226" s="39"/>
      <c r="AC226" s="7"/>
    </row>
    <row r="227" spans="1:29" ht="18" customHeight="1" x14ac:dyDescent="0.3">
      <c r="A227" s="45">
        <v>223</v>
      </c>
      <c r="B227" s="41" t="str">
        <f>IF(E227&lt;&gt;"",INDEX(Datos!D:D,MATCH(TH!E227,Datos!A:A,0)),"")</f>
        <v/>
      </c>
      <c r="C227" s="41" t="str">
        <f>IF(E227&lt;&gt;"",INDEX(Datos!C:C,MATCH(TH!E227,Datos!A:A,0)),"")</f>
        <v/>
      </c>
      <c r="D227" s="23" t="str">
        <f>IF(E227&lt;&gt;"",INDEX(Datos!B:B,MATCH(TH!E227,Datos!A:A,0)),"")</f>
        <v/>
      </c>
      <c r="E227" s="43"/>
      <c r="F227" s="35"/>
      <c r="G227" s="36">
        <v>2026</v>
      </c>
      <c r="H227" s="37">
        <v>9</v>
      </c>
      <c r="I227" s="62"/>
      <c r="J227" s="52" t="s">
        <v>528</v>
      </c>
      <c r="K227" s="53">
        <v>46154</v>
      </c>
      <c r="L227" s="34" t="s">
        <v>7</v>
      </c>
      <c r="M227" s="38"/>
      <c r="N227" s="38"/>
      <c r="O227" s="38">
        <f t="shared" si="14"/>
        <v>0</v>
      </c>
      <c r="P227" s="38"/>
      <c r="Q227" s="38"/>
      <c r="R227" s="38"/>
      <c r="S227" s="38"/>
      <c r="T227" s="38"/>
      <c r="U227" s="38">
        <f t="shared" si="15"/>
        <v>0</v>
      </c>
      <c r="V227" s="39"/>
      <c r="W227" s="39"/>
      <c r="X227" s="39"/>
      <c r="Y227" s="39"/>
      <c r="Z227" s="39"/>
      <c r="AA227" s="39"/>
      <c r="AB227" s="39"/>
      <c r="AC227" s="7"/>
    </row>
    <row r="228" spans="1:29" ht="18" customHeight="1" x14ac:dyDescent="0.3">
      <c r="A228" s="44">
        <v>224</v>
      </c>
      <c r="B228" s="41" t="str">
        <f>IF(E228&lt;&gt;"",INDEX(Datos!D:D,MATCH(TH!E228,Datos!A:A,0)),"")</f>
        <v/>
      </c>
      <c r="C228" s="41" t="str">
        <f>IF(E228&lt;&gt;"",INDEX(Datos!C:C,MATCH(TH!E228,Datos!A:A,0)),"")</f>
        <v/>
      </c>
      <c r="D228" s="23" t="str">
        <f>IF(E228&lt;&gt;"",INDEX(Datos!B:B,MATCH(TH!E228,Datos!A:A,0)),"")</f>
        <v/>
      </c>
      <c r="E228" s="43"/>
      <c r="F228" s="35"/>
      <c r="G228" s="36">
        <v>2026</v>
      </c>
      <c r="H228" s="37">
        <v>9</v>
      </c>
      <c r="I228" s="62"/>
      <c r="J228" s="52" t="s">
        <v>528</v>
      </c>
      <c r="K228" s="53">
        <v>46154</v>
      </c>
      <c r="L228" s="34" t="s">
        <v>7</v>
      </c>
      <c r="M228" s="38"/>
      <c r="N228" s="38"/>
      <c r="O228" s="38">
        <f t="shared" si="14"/>
        <v>0</v>
      </c>
      <c r="P228" s="38"/>
      <c r="Q228" s="38"/>
      <c r="R228" s="38"/>
      <c r="S228" s="38"/>
      <c r="T228" s="38"/>
      <c r="U228" s="38">
        <f t="shared" si="15"/>
        <v>0</v>
      </c>
      <c r="V228" s="39"/>
      <c r="W228" s="39"/>
      <c r="X228" s="39"/>
      <c r="Y228" s="39"/>
      <c r="Z228" s="39"/>
      <c r="AA228" s="39"/>
      <c r="AB228" s="39"/>
      <c r="AC228" s="7"/>
    </row>
    <row r="229" spans="1:29" ht="18" customHeight="1" x14ac:dyDescent="0.3">
      <c r="A229" s="45">
        <v>225</v>
      </c>
      <c r="B229" s="41" t="str">
        <f>IF(E229&lt;&gt;"",INDEX(Datos!D:D,MATCH(TH!E229,Datos!A:A,0)),"")</f>
        <v/>
      </c>
      <c r="C229" s="41" t="str">
        <f>IF(E229&lt;&gt;"",INDEX(Datos!C:C,MATCH(TH!E229,Datos!A:A,0)),"")</f>
        <v/>
      </c>
      <c r="D229" s="23" t="str">
        <f>IF(E229&lt;&gt;"",INDEX(Datos!B:B,MATCH(TH!E229,Datos!A:A,0)),"")</f>
        <v/>
      </c>
      <c r="E229" s="68"/>
      <c r="F229" s="35"/>
      <c r="G229" s="36">
        <v>2026</v>
      </c>
      <c r="H229" s="37">
        <v>9</v>
      </c>
      <c r="I229" s="62"/>
      <c r="J229" s="52" t="s">
        <v>528</v>
      </c>
      <c r="K229" s="53">
        <v>46154</v>
      </c>
      <c r="L229" s="34" t="s">
        <v>7</v>
      </c>
      <c r="M229" s="38"/>
      <c r="N229" s="38"/>
      <c r="O229" s="38">
        <f t="shared" si="14"/>
        <v>0</v>
      </c>
      <c r="P229" s="38"/>
      <c r="Q229" s="38"/>
      <c r="R229" s="38"/>
      <c r="S229" s="38"/>
      <c r="T229" s="38"/>
      <c r="U229" s="38">
        <f t="shared" si="15"/>
        <v>0</v>
      </c>
      <c r="V229" s="39"/>
      <c r="W229" s="39"/>
      <c r="X229" s="39"/>
      <c r="Y229" s="39"/>
      <c r="Z229" s="39"/>
      <c r="AA229" s="39"/>
      <c r="AB229" s="39"/>
      <c r="AC229" s="7"/>
    </row>
    <row r="230" spans="1:29" ht="18" customHeight="1" x14ac:dyDescent="0.3">
      <c r="A230" s="45">
        <v>226</v>
      </c>
      <c r="B230" s="41" t="str">
        <f>IF(E230&lt;&gt;"",INDEX(Datos!D:D,MATCH(TH!E230,Datos!A:A,0)),"")</f>
        <v/>
      </c>
      <c r="C230" s="41" t="str">
        <f>IF(E230&lt;&gt;"",INDEX(Datos!C:C,MATCH(TH!E230,Datos!A:A,0)),"")</f>
        <v/>
      </c>
      <c r="D230" s="23" t="str">
        <f>IF(E230&lt;&gt;"",INDEX(Datos!B:B,MATCH(TH!E230,Datos!A:A,0)),"")</f>
        <v/>
      </c>
      <c r="E230" s="68"/>
      <c r="F230" s="35"/>
      <c r="G230" s="36">
        <v>2026</v>
      </c>
      <c r="H230" s="37">
        <v>9</v>
      </c>
      <c r="I230" s="62"/>
      <c r="J230" s="52" t="s">
        <v>528</v>
      </c>
      <c r="K230" s="53">
        <v>46154</v>
      </c>
      <c r="L230" s="34" t="s">
        <v>7</v>
      </c>
      <c r="M230" s="38"/>
      <c r="N230" s="38"/>
      <c r="O230" s="38">
        <f t="shared" si="14"/>
        <v>0</v>
      </c>
      <c r="P230" s="38"/>
      <c r="Q230" s="38"/>
      <c r="R230" s="38"/>
      <c r="S230" s="38"/>
      <c r="T230" s="38"/>
      <c r="U230" s="38">
        <f t="shared" si="15"/>
        <v>0</v>
      </c>
      <c r="V230" s="39"/>
      <c r="W230" s="39"/>
      <c r="X230" s="39"/>
      <c r="Y230" s="39"/>
      <c r="Z230" s="39"/>
      <c r="AA230" s="39"/>
      <c r="AB230" s="39"/>
      <c r="AC230" s="7"/>
    </row>
    <row r="231" spans="1:29" ht="18" customHeight="1" x14ac:dyDescent="0.3">
      <c r="A231" s="44">
        <v>227</v>
      </c>
      <c r="B231" s="41" t="str">
        <f>IF(E231&lt;&gt;"",INDEX(Datos!D:D,MATCH(TH!E231,Datos!A:A,0)),"")</f>
        <v/>
      </c>
      <c r="C231" s="41" t="str">
        <f>IF(E231&lt;&gt;"",INDEX(Datos!C:C,MATCH(TH!E231,Datos!A:A,0)),"")</f>
        <v/>
      </c>
      <c r="D231" s="23" t="str">
        <f>IF(E231&lt;&gt;"",INDEX(Datos!B:B,MATCH(TH!E231,Datos!A:A,0)),"")</f>
        <v/>
      </c>
      <c r="E231" s="43"/>
      <c r="F231" s="35"/>
      <c r="G231" s="36">
        <v>2026</v>
      </c>
      <c r="H231" s="37">
        <v>9</v>
      </c>
      <c r="I231" s="62"/>
      <c r="J231" s="52" t="s">
        <v>528</v>
      </c>
      <c r="K231" s="53">
        <v>46154</v>
      </c>
      <c r="L231" s="34" t="s">
        <v>7</v>
      </c>
      <c r="M231" s="38"/>
      <c r="N231" s="38"/>
      <c r="O231" s="38">
        <f t="shared" si="14"/>
        <v>0</v>
      </c>
      <c r="P231" s="38"/>
      <c r="Q231" s="38"/>
      <c r="R231" s="38"/>
      <c r="S231" s="38"/>
      <c r="T231" s="38"/>
      <c r="U231" s="38">
        <f t="shared" si="15"/>
        <v>0</v>
      </c>
      <c r="V231" s="39"/>
      <c r="W231" s="39"/>
      <c r="X231" s="39"/>
      <c r="Y231" s="39"/>
      <c r="Z231" s="39"/>
      <c r="AA231" s="39"/>
      <c r="AB231" s="39"/>
      <c r="AC231" s="7"/>
    </row>
    <row r="232" spans="1:29" ht="18" customHeight="1" x14ac:dyDescent="0.3">
      <c r="A232" s="44">
        <v>228</v>
      </c>
      <c r="B232" s="41" t="str">
        <f>IF(E232&lt;&gt;"",INDEX(Datos!D:D,MATCH(TH!E232,Datos!A:A,0)),"")</f>
        <v/>
      </c>
      <c r="C232" s="41" t="str">
        <f>IF(E232&lt;&gt;"",INDEX(Datos!C:C,MATCH(TH!E232,Datos!A:A,0)),"")</f>
        <v/>
      </c>
      <c r="D232" s="23" t="str">
        <f>IF(E232&lt;&gt;"",INDEX(Datos!B:B,MATCH(TH!E232,Datos!A:A,0)),"")</f>
        <v/>
      </c>
      <c r="E232" s="43"/>
      <c r="F232" s="35"/>
      <c r="G232" s="36">
        <v>2026</v>
      </c>
      <c r="H232" s="37">
        <v>9</v>
      </c>
      <c r="I232" s="62"/>
      <c r="J232" s="52" t="s">
        <v>528</v>
      </c>
      <c r="K232" s="53">
        <v>46154</v>
      </c>
      <c r="L232" s="34" t="s">
        <v>7</v>
      </c>
      <c r="M232" s="38"/>
      <c r="N232" s="38"/>
      <c r="O232" s="38">
        <f t="shared" si="14"/>
        <v>0</v>
      </c>
      <c r="P232" s="38"/>
      <c r="Q232" s="38"/>
      <c r="R232" s="38"/>
      <c r="S232" s="38"/>
      <c r="T232" s="38"/>
      <c r="U232" s="38">
        <f t="shared" si="15"/>
        <v>0</v>
      </c>
      <c r="V232" s="39"/>
      <c r="W232" s="39"/>
      <c r="X232" s="39"/>
      <c r="Y232" s="39"/>
      <c r="Z232" s="39"/>
      <c r="AA232" s="39"/>
      <c r="AB232" s="39"/>
      <c r="AC232" s="7"/>
    </row>
    <row r="233" spans="1:29" ht="18" customHeight="1" x14ac:dyDescent="0.3">
      <c r="A233" s="45">
        <v>229</v>
      </c>
      <c r="B233" s="41" t="str">
        <f>IF(E233&lt;&gt;"",INDEX(Datos!D:D,MATCH(TH!E233,Datos!A:A,0)),"")</f>
        <v/>
      </c>
      <c r="C233" s="41" t="str">
        <f>IF(E233&lt;&gt;"",INDEX(Datos!C:C,MATCH(TH!E233,Datos!A:A,0)),"")</f>
        <v/>
      </c>
      <c r="D233" s="23" t="str">
        <f>IF(E233&lt;&gt;"",INDEX(Datos!B:B,MATCH(TH!E233,Datos!A:A,0)),"")</f>
        <v/>
      </c>
      <c r="E233" s="68"/>
      <c r="F233" s="35"/>
      <c r="G233" s="36">
        <v>2026</v>
      </c>
      <c r="H233" s="37">
        <v>9</v>
      </c>
      <c r="I233" s="62"/>
      <c r="J233" s="52" t="s">
        <v>528</v>
      </c>
      <c r="K233" s="53">
        <v>46154</v>
      </c>
      <c r="L233" s="34" t="s">
        <v>7</v>
      </c>
      <c r="M233" s="38"/>
      <c r="N233" s="38"/>
      <c r="O233" s="38">
        <f t="shared" si="14"/>
        <v>0</v>
      </c>
      <c r="P233" s="38"/>
      <c r="Q233" s="38"/>
      <c r="R233" s="38"/>
      <c r="S233" s="38"/>
      <c r="T233" s="38"/>
      <c r="U233" s="38">
        <f t="shared" si="15"/>
        <v>0</v>
      </c>
      <c r="V233" s="39"/>
      <c r="W233" s="39"/>
      <c r="X233" s="39"/>
      <c r="Y233" s="39"/>
      <c r="Z233" s="39"/>
      <c r="AA233" s="39"/>
      <c r="AB233" s="39"/>
      <c r="AC233" s="7"/>
    </row>
    <row r="234" spans="1:29" ht="18" customHeight="1" x14ac:dyDescent="0.3">
      <c r="A234" s="44">
        <v>230</v>
      </c>
      <c r="B234" s="41" t="str">
        <f>IF(E234&lt;&gt;"",INDEX(Datos!D:D,MATCH(TH!E234,Datos!A:A,0)),"")</f>
        <v/>
      </c>
      <c r="C234" s="41" t="str">
        <f>IF(E234&lt;&gt;"",INDEX(Datos!C:C,MATCH(TH!E234,Datos!A:A,0)),"")</f>
        <v/>
      </c>
      <c r="D234" s="23" t="str">
        <f>IF(E234&lt;&gt;"",INDEX(Datos!B:B,MATCH(TH!E234,Datos!A:A,0)),"")</f>
        <v/>
      </c>
      <c r="E234" s="68"/>
      <c r="F234" s="35"/>
      <c r="G234" s="36">
        <v>2026</v>
      </c>
      <c r="H234" s="37">
        <v>9</v>
      </c>
      <c r="I234" s="62"/>
      <c r="J234" s="52" t="s">
        <v>528</v>
      </c>
      <c r="K234" s="53">
        <v>46154</v>
      </c>
      <c r="L234" s="34" t="s">
        <v>7</v>
      </c>
      <c r="M234" s="38"/>
      <c r="N234" s="38"/>
      <c r="O234" s="38">
        <f t="shared" si="14"/>
        <v>0</v>
      </c>
      <c r="P234" s="38"/>
      <c r="Q234" s="38"/>
      <c r="R234" s="38"/>
      <c r="S234" s="38"/>
      <c r="T234" s="38"/>
      <c r="U234" s="38">
        <f t="shared" si="15"/>
        <v>0</v>
      </c>
      <c r="V234" s="39"/>
      <c r="W234" s="39"/>
      <c r="X234" s="39"/>
      <c r="Y234" s="39"/>
      <c r="Z234" s="39"/>
      <c r="AA234" s="39"/>
      <c r="AB234" s="39"/>
      <c r="AC234" s="7"/>
    </row>
    <row r="235" spans="1:29" ht="18" customHeight="1" x14ac:dyDescent="0.3">
      <c r="A235" s="45">
        <v>231</v>
      </c>
      <c r="B235" s="41" t="str">
        <f>IF(E235&lt;&gt;"",INDEX(Datos!D:D,MATCH(TH!E235,Datos!A:A,0)),"")</f>
        <v/>
      </c>
      <c r="C235" s="41" t="str">
        <f>IF(E235&lt;&gt;"",INDEX(Datos!C:C,MATCH(TH!E235,Datos!A:A,0)),"")</f>
        <v/>
      </c>
      <c r="D235" s="23" t="str">
        <f>IF(E235&lt;&gt;"",INDEX(Datos!B:B,MATCH(TH!E235,Datos!A:A,0)),"")</f>
        <v/>
      </c>
      <c r="E235" s="68"/>
      <c r="F235" s="35"/>
      <c r="G235" s="36">
        <v>2026</v>
      </c>
      <c r="H235" s="37">
        <v>9</v>
      </c>
      <c r="I235" s="62"/>
      <c r="J235" s="52" t="s">
        <v>528</v>
      </c>
      <c r="K235" s="53">
        <v>46154</v>
      </c>
      <c r="L235" s="34" t="s">
        <v>7</v>
      </c>
      <c r="M235" s="38"/>
      <c r="N235" s="38"/>
      <c r="O235" s="38">
        <f t="shared" si="14"/>
        <v>0</v>
      </c>
      <c r="P235" s="38"/>
      <c r="Q235" s="38"/>
      <c r="R235" s="38"/>
      <c r="S235" s="38"/>
      <c r="T235" s="38"/>
      <c r="U235" s="38">
        <f t="shared" si="15"/>
        <v>0</v>
      </c>
      <c r="V235" s="39"/>
      <c r="W235" s="39"/>
      <c r="X235" s="39"/>
      <c r="Y235" s="39"/>
      <c r="Z235" s="39"/>
      <c r="AA235" s="39"/>
      <c r="AB235" s="39"/>
      <c r="AC235" s="7"/>
    </row>
    <row r="236" spans="1:29" ht="18" customHeight="1" x14ac:dyDescent="0.3">
      <c r="A236" s="45">
        <v>232</v>
      </c>
      <c r="B236" s="41" t="str">
        <f>IF(E236&lt;&gt;"",INDEX(Datos!D:D,MATCH(TH!E236,Datos!A:A,0)),"")</f>
        <v/>
      </c>
      <c r="C236" s="41" t="str">
        <f>IF(E236&lt;&gt;"",INDEX(Datos!C:C,MATCH(TH!E236,Datos!A:A,0)),"")</f>
        <v/>
      </c>
      <c r="D236" s="23" t="str">
        <f>IF(E236&lt;&gt;"",INDEX(Datos!B:B,MATCH(TH!E236,Datos!A:A,0)),"")</f>
        <v/>
      </c>
      <c r="E236" s="68"/>
      <c r="F236" s="35"/>
      <c r="G236" s="36">
        <v>2026</v>
      </c>
      <c r="H236" s="37">
        <v>9</v>
      </c>
      <c r="I236" s="62"/>
      <c r="J236" s="52" t="s">
        <v>528</v>
      </c>
      <c r="K236" s="53">
        <v>46154</v>
      </c>
      <c r="L236" s="34" t="s">
        <v>7</v>
      </c>
      <c r="M236" s="38"/>
      <c r="N236" s="38"/>
      <c r="O236" s="38">
        <f t="shared" si="14"/>
        <v>0</v>
      </c>
      <c r="P236" s="38"/>
      <c r="Q236" s="38"/>
      <c r="R236" s="38"/>
      <c r="S236" s="38"/>
      <c r="T236" s="38"/>
      <c r="U236" s="38">
        <f t="shared" si="15"/>
        <v>0</v>
      </c>
      <c r="V236" s="39"/>
      <c r="W236" s="39"/>
      <c r="X236" s="39"/>
      <c r="Y236" s="39"/>
      <c r="Z236" s="39"/>
      <c r="AA236" s="39"/>
      <c r="AB236" s="39"/>
      <c r="AC236" s="7"/>
    </row>
    <row r="237" spans="1:29" ht="18" customHeight="1" x14ac:dyDescent="0.3">
      <c r="A237" s="44">
        <v>233</v>
      </c>
      <c r="B237" s="41" t="str">
        <f>IF(E237&lt;&gt;"",INDEX(Datos!D:D,MATCH(TH!E237,Datos!A:A,0)),"")</f>
        <v/>
      </c>
      <c r="C237" s="41" t="str">
        <f>IF(E237&lt;&gt;"",INDEX(Datos!C:C,MATCH(TH!E237,Datos!A:A,0)),"")</f>
        <v/>
      </c>
      <c r="D237" s="23" t="str">
        <f>IF(E237&lt;&gt;"",INDEX(Datos!B:B,MATCH(TH!E237,Datos!A:A,0)),"")</f>
        <v/>
      </c>
      <c r="E237" s="68"/>
      <c r="F237" s="35"/>
      <c r="G237" s="36">
        <v>2026</v>
      </c>
      <c r="H237" s="37">
        <v>9</v>
      </c>
      <c r="I237" s="62"/>
      <c r="J237" s="52" t="s">
        <v>528</v>
      </c>
      <c r="K237" s="53">
        <v>46154</v>
      </c>
      <c r="L237" s="34" t="s">
        <v>7</v>
      </c>
      <c r="M237" s="38"/>
      <c r="N237" s="46"/>
      <c r="O237" s="38">
        <f t="shared" si="14"/>
        <v>0</v>
      </c>
      <c r="P237" s="38"/>
      <c r="Q237" s="38"/>
      <c r="R237" s="38"/>
      <c r="S237" s="38"/>
      <c r="T237" s="46"/>
      <c r="U237" s="38">
        <f t="shared" si="15"/>
        <v>0</v>
      </c>
      <c r="V237" s="39"/>
      <c r="W237" s="39"/>
      <c r="X237" s="39"/>
      <c r="Y237" s="39"/>
      <c r="Z237" s="39"/>
      <c r="AA237" s="39"/>
      <c r="AB237" s="39"/>
      <c r="AC237" s="7"/>
    </row>
    <row r="238" spans="1:29" ht="18" customHeight="1" x14ac:dyDescent="0.3">
      <c r="A238" s="44">
        <v>234</v>
      </c>
      <c r="B238" s="41" t="str">
        <f>IF(E238&lt;&gt;"",INDEX(Datos!D:D,MATCH(TH!E238,Datos!A:A,0)),"")</f>
        <v/>
      </c>
      <c r="C238" s="41" t="str">
        <f>IF(E238&lt;&gt;"",INDEX(Datos!C:C,MATCH(TH!E238,Datos!A:A,0)),"")</f>
        <v/>
      </c>
      <c r="D238" s="23" t="str">
        <f>IF(E238&lt;&gt;"",INDEX(Datos!B:B,MATCH(TH!E238,Datos!A:A,0)),"")</f>
        <v/>
      </c>
      <c r="E238" s="68"/>
      <c r="F238" s="35"/>
      <c r="G238" s="36">
        <v>2026</v>
      </c>
      <c r="H238" s="37">
        <v>9</v>
      </c>
      <c r="I238" s="62"/>
      <c r="J238" s="52" t="s">
        <v>528</v>
      </c>
      <c r="K238" s="53">
        <v>46154</v>
      </c>
      <c r="L238" s="34" t="s">
        <v>7</v>
      </c>
      <c r="M238" s="38"/>
      <c r="N238" s="46"/>
      <c r="O238" s="38">
        <f t="shared" si="14"/>
        <v>0</v>
      </c>
      <c r="P238" s="38"/>
      <c r="Q238" s="38"/>
      <c r="R238" s="38"/>
      <c r="S238" s="38"/>
      <c r="T238" s="46"/>
      <c r="U238" s="38">
        <f t="shared" si="15"/>
        <v>0</v>
      </c>
      <c r="V238" s="39"/>
      <c r="W238" s="39"/>
      <c r="X238" s="39"/>
      <c r="Y238" s="39"/>
      <c r="Z238" s="39"/>
      <c r="AA238" s="39"/>
      <c r="AB238" s="39"/>
      <c r="AC238" s="7"/>
    </row>
    <row r="239" spans="1:29" ht="18" customHeight="1" x14ac:dyDescent="0.3">
      <c r="A239" s="45">
        <v>235</v>
      </c>
      <c r="B239" s="41" t="str">
        <f>IF(E239&lt;&gt;"",INDEX(Datos!D:D,MATCH(TH!E239,Datos!A:A,0)),"")</f>
        <v/>
      </c>
      <c r="C239" s="41" t="str">
        <f>IF(E239&lt;&gt;"",INDEX(Datos!C:C,MATCH(TH!E239,Datos!A:A,0)),"")</f>
        <v/>
      </c>
      <c r="D239" s="23" t="str">
        <f>IF(E239&lt;&gt;"",INDEX(Datos!B:B,MATCH(TH!E239,Datos!A:A,0)),"")</f>
        <v/>
      </c>
      <c r="E239" s="68"/>
      <c r="F239" s="35"/>
      <c r="G239" s="36">
        <v>2026</v>
      </c>
      <c r="H239" s="37">
        <v>9</v>
      </c>
      <c r="I239" s="62"/>
      <c r="J239" s="52" t="s">
        <v>528</v>
      </c>
      <c r="K239" s="53">
        <v>46154</v>
      </c>
      <c r="L239" s="34" t="s">
        <v>7</v>
      </c>
      <c r="M239" s="38"/>
      <c r="N239" s="46"/>
      <c r="O239" s="38">
        <f t="shared" si="14"/>
        <v>0</v>
      </c>
      <c r="P239" s="38"/>
      <c r="Q239" s="38"/>
      <c r="R239" s="38"/>
      <c r="S239" s="38"/>
      <c r="T239" s="46"/>
      <c r="U239" s="38">
        <f t="shared" si="15"/>
        <v>0</v>
      </c>
      <c r="V239" s="39"/>
      <c r="W239" s="39"/>
      <c r="X239" s="39"/>
      <c r="Y239" s="39"/>
      <c r="Z239" s="39"/>
      <c r="AA239" s="39"/>
      <c r="AB239" s="39"/>
      <c r="AC239" s="7"/>
    </row>
    <row r="240" spans="1:29" ht="18" customHeight="1" x14ac:dyDescent="0.3">
      <c r="A240" s="44">
        <v>236</v>
      </c>
      <c r="B240" s="41" t="str">
        <f>IF(E240&lt;&gt;"",INDEX(Datos!D:D,MATCH(TH!E240,Datos!A:A,0)),"")</f>
        <v/>
      </c>
      <c r="C240" s="41" t="str">
        <f>IF(E240&lt;&gt;"",INDEX(Datos!C:C,MATCH(TH!E240,Datos!A:A,0)),"")</f>
        <v/>
      </c>
      <c r="D240" s="23" t="str">
        <f>IF(E240&lt;&gt;"",INDEX(Datos!B:B,MATCH(TH!E240,Datos!A:A,0)),"")</f>
        <v/>
      </c>
      <c r="E240" s="68"/>
      <c r="F240" s="35"/>
      <c r="G240" s="36">
        <v>2026</v>
      </c>
      <c r="H240" s="37">
        <v>9</v>
      </c>
      <c r="I240" s="62"/>
      <c r="J240" s="52" t="s">
        <v>528</v>
      </c>
      <c r="K240" s="53">
        <v>46154</v>
      </c>
      <c r="L240" s="34" t="s">
        <v>7</v>
      </c>
      <c r="M240" s="38"/>
      <c r="N240" s="46"/>
      <c r="O240" s="38">
        <f t="shared" si="14"/>
        <v>0</v>
      </c>
      <c r="P240" s="38"/>
      <c r="Q240" s="38"/>
      <c r="R240" s="38"/>
      <c r="S240" s="38"/>
      <c r="T240" s="46"/>
      <c r="U240" s="38">
        <f t="shared" si="15"/>
        <v>0</v>
      </c>
      <c r="V240" s="39"/>
      <c r="W240" s="39"/>
      <c r="X240" s="39"/>
      <c r="Y240" s="39"/>
      <c r="Z240" s="39"/>
      <c r="AA240" s="39"/>
      <c r="AB240" s="39"/>
      <c r="AC240" s="7"/>
    </row>
    <row r="241" spans="1:29" ht="18" customHeight="1" x14ac:dyDescent="0.3">
      <c r="A241" s="45">
        <v>237</v>
      </c>
      <c r="B241" s="41" t="str">
        <f>IF(E241&lt;&gt;"",INDEX(Datos!D:D,MATCH(TH!E241,Datos!A:A,0)),"")</f>
        <v/>
      </c>
      <c r="C241" s="41" t="str">
        <f>IF(E241&lt;&gt;"",INDEX(Datos!C:C,MATCH(TH!E241,Datos!A:A,0)),"")</f>
        <v/>
      </c>
      <c r="D241" s="23" t="str">
        <f>IF(E241&lt;&gt;"",INDEX(Datos!B:B,MATCH(TH!E241,Datos!A:A,0)),"")</f>
        <v/>
      </c>
      <c r="E241" s="68"/>
      <c r="F241" s="35"/>
      <c r="G241" s="36">
        <v>2026</v>
      </c>
      <c r="H241" s="37">
        <v>9</v>
      </c>
      <c r="I241" s="62"/>
      <c r="J241" s="52" t="s">
        <v>528</v>
      </c>
      <c r="K241" s="53">
        <v>46154</v>
      </c>
      <c r="L241" s="34" t="s">
        <v>7</v>
      </c>
      <c r="M241" s="38"/>
      <c r="N241" s="46"/>
      <c r="O241" s="38">
        <f t="shared" si="14"/>
        <v>0</v>
      </c>
      <c r="P241" s="38"/>
      <c r="Q241" s="38"/>
      <c r="R241" s="38"/>
      <c r="S241" s="38"/>
      <c r="T241" s="46"/>
      <c r="U241" s="38">
        <f t="shared" si="15"/>
        <v>0</v>
      </c>
      <c r="V241" s="39"/>
      <c r="W241" s="39"/>
      <c r="X241" s="39"/>
      <c r="Y241" s="39"/>
      <c r="Z241" s="39"/>
      <c r="AA241" s="39"/>
      <c r="AB241" s="39"/>
      <c r="AC241" s="7"/>
    </row>
    <row r="242" spans="1:29" ht="18" customHeight="1" x14ac:dyDescent="0.3">
      <c r="A242" s="45">
        <v>238</v>
      </c>
      <c r="B242" s="41" t="str">
        <f>IF(E242&lt;&gt;"",INDEX(Datos!D:D,MATCH(TH!E242,Datos!A:A,0)),"")</f>
        <v/>
      </c>
      <c r="C242" s="41" t="str">
        <f>IF(E242&lt;&gt;"",INDEX(Datos!C:C,MATCH(TH!E242,Datos!A:A,0)),"")</f>
        <v/>
      </c>
      <c r="D242" s="23" t="str">
        <f>IF(E242&lt;&gt;"",INDEX(Datos!B:B,MATCH(TH!E242,Datos!A:A,0)),"")</f>
        <v/>
      </c>
      <c r="E242" s="68"/>
      <c r="F242" s="35"/>
      <c r="G242" s="36">
        <v>2026</v>
      </c>
      <c r="H242" s="37">
        <v>9</v>
      </c>
      <c r="I242" s="62"/>
      <c r="J242" s="52" t="s">
        <v>528</v>
      </c>
      <c r="K242" s="53">
        <v>46154</v>
      </c>
      <c r="L242" s="34" t="s">
        <v>7</v>
      </c>
      <c r="M242" s="38"/>
      <c r="N242" s="46"/>
      <c r="O242" s="38">
        <f t="shared" si="14"/>
        <v>0</v>
      </c>
      <c r="P242" s="38"/>
      <c r="Q242" s="38"/>
      <c r="R242" s="38"/>
      <c r="S242" s="38"/>
      <c r="T242" s="46"/>
      <c r="U242" s="38">
        <f t="shared" si="15"/>
        <v>0</v>
      </c>
      <c r="V242" s="39"/>
      <c r="W242" s="39"/>
      <c r="X242" s="39"/>
      <c r="Y242" s="39"/>
      <c r="Z242" s="39"/>
      <c r="AA242" s="39"/>
      <c r="AB242" s="39"/>
      <c r="AC242" s="7"/>
    </row>
    <row r="243" spans="1:29" ht="18" customHeight="1" x14ac:dyDescent="0.3">
      <c r="A243" s="44">
        <v>239</v>
      </c>
      <c r="B243" s="41" t="str">
        <f>IF(E243&lt;&gt;"",INDEX(Datos!D:D,MATCH(TH!E243,Datos!A:A,0)),"")</f>
        <v/>
      </c>
      <c r="C243" s="41" t="str">
        <f>IF(E243&lt;&gt;"",INDEX(Datos!C:C,MATCH(TH!E243,Datos!A:A,0)),"")</f>
        <v/>
      </c>
      <c r="D243" s="23" t="str">
        <f>IF(E243&lt;&gt;"",INDEX(Datos!B:B,MATCH(TH!E243,Datos!A:A,0)),"")</f>
        <v/>
      </c>
      <c r="E243" s="68"/>
      <c r="F243" s="35"/>
      <c r="G243" s="36">
        <v>2026</v>
      </c>
      <c r="H243" s="37">
        <v>9</v>
      </c>
      <c r="I243" s="62"/>
      <c r="J243" s="52" t="s">
        <v>528</v>
      </c>
      <c r="K243" s="53">
        <v>46154</v>
      </c>
      <c r="L243" s="34" t="s">
        <v>7</v>
      </c>
      <c r="M243" s="38"/>
      <c r="N243" s="46"/>
      <c r="O243" s="38">
        <f t="shared" si="14"/>
        <v>0</v>
      </c>
      <c r="P243" s="38"/>
      <c r="Q243" s="38"/>
      <c r="R243" s="38"/>
      <c r="S243" s="38"/>
      <c r="T243" s="46"/>
      <c r="U243" s="38">
        <f t="shared" si="15"/>
        <v>0</v>
      </c>
      <c r="V243" s="39"/>
      <c r="W243" s="39"/>
      <c r="X243" s="39"/>
      <c r="Y243" s="39"/>
      <c r="Z243" s="39"/>
      <c r="AA243" s="39"/>
      <c r="AB243" s="39"/>
      <c r="AC243" s="7"/>
    </row>
    <row r="244" spans="1:29" ht="18" customHeight="1" x14ac:dyDescent="0.3">
      <c r="A244" s="44">
        <v>240</v>
      </c>
      <c r="B244" s="41" t="str">
        <f>IF(E244&lt;&gt;"",INDEX(Datos!D:D,MATCH(TH!E244,Datos!A:A,0)),"")</f>
        <v/>
      </c>
      <c r="C244" s="41" t="str">
        <f>IF(E244&lt;&gt;"",INDEX(Datos!C:C,MATCH(TH!E244,Datos!A:A,0)),"")</f>
        <v/>
      </c>
      <c r="D244" s="23" t="str">
        <f>IF(E244&lt;&gt;"",INDEX(Datos!B:B,MATCH(TH!E244,Datos!A:A,0)),"")</f>
        <v/>
      </c>
      <c r="E244" s="68"/>
      <c r="F244" s="35"/>
      <c r="G244" s="36">
        <v>2026</v>
      </c>
      <c r="H244" s="37">
        <v>9</v>
      </c>
      <c r="I244" s="62"/>
      <c r="J244" s="52" t="s">
        <v>528</v>
      </c>
      <c r="K244" s="53">
        <v>46154</v>
      </c>
      <c r="L244" s="34" t="s">
        <v>7</v>
      </c>
      <c r="M244" s="38"/>
      <c r="N244" s="46"/>
      <c r="O244" s="38">
        <f t="shared" si="14"/>
        <v>0</v>
      </c>
      <c r="P244" s="38"/>
      <c r="Q244" s="38"/>
      <c r="R244" s="38"/>
      <c r="S244" s="38"/>
      <c r="T244" s="46"/>
      <c r="U244" s="38">
        <f t="shared" si="15"/>
        <v>0</v>
      </c>
      <c r="V244" s="39"/>
      <c r="W244" s="39"/>
      <c r="X244" s="39"/>
      <c r="Y244" s="39"/>
      <c r="Z244" s="39"/>
      <c r="AA244" s="39"/>
      <c r="AB244" s="39"/>
      <c r="AC244" s="7"/>
    </row>
    <row r="245" spans="1:29" ht="18" customHeight="1" x14ac:dyDescent="0.3">
      <c r="A245" s="45">
        <v>241</v>
      </c>
      <c r="B245" s="41" t="str">
        <f>IF(E245&lt;&gt;"",INDEX(Datos!D:D,MATCH(TH!E245,Datos!A:A,0)),"")</f>
        <v/>
      </c>
      <c r="C245" s="41" t="str">
        <f>IF(E245&lt;&gt;"",INDEX(Datos!C:C,MATCH(TH!E245,Datos!A:A,0)),"")</f>
        <v/>
      </c>
      <c r="D245" s="23" t="str">
        <f>IF(E245&lt;&gt;"",INDEX(Datos!B:B,MATCH(TH!E245,Datos!A:A,0)),"")</f>
        <v/>
      </c>
      <c r="E245" s="68"/>
      <c r="F245" s="35"/>
      <c r="G245" s="36">
        <v>2026</v>
      </c>
      <c r="H245" s="37">
        <v>9</v>
      </c>
      <c r="I245" s="62"/>
      <c r="J245" s="52" t="s">
        <v>528</v>
      </c>
      <c r="K245" s="53">
        <v>46154</v>
      </c>
      <c r="L245" s="34" t="s">
        <v>7</v>
      </c>
      <c r="M245" s="38"/>
      <c r="N245" s="46"/>
      <c r="O245" s="38">
        <f t="shared" si="14"/>
        <v>0</v>
      </c>
      <c r="P245" s="38"/>
      <c r="Q245" s="38"/>
      <c r="R245" s="38"/>
      <c r="S245" s="38"/>
      <c r="T245" s="46"/>
      <c r="U245" s="38">
        <f t="shared" si="15"/>
        <v>0</v>
      </c>
      <c r="V245" s="39"/>
      <c r="W245" s="39"/>
      <c r="X245" s="39"/>
      <c r="Y245" s="39"/>
      <c r="Z245" s="39"/>
      <c r="AA245" s="39"/>
      <c r="AB245" s="39"/>
      <c r="AC245" s="7"/>
    </row>
    <row r="246" spans="1:29" ht="18" customHeight="1" x14ac:dyDescent="0.3">
      <c r="A246" s="44">
        <v>242</v>
      </c>
      <c r="B246" s="41" t="str">
        <f>IF(E246&lt;&gt;"",INDEX(Datos!D:D,MATCH(TH!E246,Datos!A:A,0)),"")</f>
        <v/>
      </c>
      <c r="C246" s="41" t="str">
        <f>IF(E246&lt;&gt;"",INDEX(Datos!C:C,MATCH(TH!E246,Datos!A:A,0)),"")</f>
        <v/>
      </c>
      <c r="D246" s="23" t="str">
        <f>IF(E246&lt;&gt;"",INDEX(Datos!B:B,MATCH(TH!E246,Datos!A:A,0)),"")</f>
        <v/>
      </c>
      <c r="E246" s="43"/>
      <c r="F246" s="35"/>
      <c r="G246" s="36">
        <v>2026</v>
      </c>
      <c r="H246" s="37">
        <v>9</v>
      </c>
      <c r="I246" s="62"/>
      <c r="J246" s="52" t="s">
        <v>528</v>
      </c>
      <c r="K246" s="53">
        <v>46154</v>
      </c>
      <c r="L246" s="34" t="s">
        <v>7</v>
      </c>
      <c r="M246" s="38"/>
      <c r="N246" s="38"/>
      <c r="O246" s="38">
        <f t="shared" si="14"/>
        <v>0</v>
      </c>
      <c r="P246" s="38"/>
      <c r="Q246" s="38"/>
      <c r="R246" s="38"/>
      <c r="S246" s="38"/>
      <c r="T246" s="38"/>
      <c r="U246" s="38">
        <f t="shared" si="15"/>
        <v>0</v>
      </c>
      <c r="V246" s="39"/>
      <c r="W246" s="39"/>
      <c r="X246" s="39"/>
      <c r="Y246" s="39"/>
      <c r="Z246" s="39"/>
      <c r="AA246" s="39"/>
      <c r="AB246" s="39"/>
      <c r="AC246" s="7"/>
    </row>
    <row r="247" spans="1:29" ht="18" customHeight="1" x14ac:dyDescent="0.3">
      <c r="A247" s="45">
        <v>243</v>
      </c>
      <c r="B247" s="41" t="str">
        <f>IF(E247&lt;&gt;"",INDEX(Datos!D:D,MATCH(TH!E247,Datos!A:A,0)),"")</f>
        <v/>
      </c>
      <c r="C247" s="41" t="str">
        <f>IF(E247&lt;&gt;"",INDEX(Datos!C:C,MATCH(TH!E247,Datos!A:A,0)),"")</f>
        <v/>
      </c>
      <c r="D247" s="23" t="str">
        <f>IF(E247&lt;&gt;"",INDEX(Datos!B:B,MATCH(TH!E247,Datos!A:A,0)),"")</f>
        <v/>
      </c>
      <c r="E247" s="43"/>
      <c r="F247" s="35"/>
      <c r="G247" s="36">
        <v>2026</v>
      </c>
      <c r="H247" s="37">
        <v>9</v>
      </c>
      <c r="I247" s="62"/>
      <c r="J247" s="52" t="s">
        <v>528</v>
      </c>
      <c r="K247" s="53">
        <v>46154</v>
      </c>
      <c r="L247" s="34" t="s">
        <v>7</v>
      </c>
      <c r="M247" s="38"/>
      <c r="N247" s="38"/>
      <c r="O247" s="38">
        <f t="shared" si="14"/>
        <v>0</v>
      </c>
      <c r="P247" s="38"/>
      <c r="Q247" s="38"/>
      <c r="R247" s="38"/>
      <c r="S247" s="38"/>
      <c r="T247" s="38"/>
      <c r="U247" s="38">
        <f t="shared" si="15"/>
        <v>0</v>
      </c>
      <c r="V247" s="39"/>
      <c r="W247" s="39"/>
      <c r="X247" s="39"/>
      <c r="Y247" s="39"/>
      <c r="Z247" s="39"/>
      <c r="AA247" s="39"/>
      <c r="AB247" s="39"/>
      <c r="AC247" s="7"/>
    </row>
    <row r="248" spans="1:29" ht="18" customHeight="1" x14ac:dyDescent="0.3">
      <c r="A248" s="45">
        <v>244</v>
      </c>
      <c r="B248" s="41" t="str">
        <f>IF(E248&lt;&gt;"",INDEX(Datos!D:D,MATCH(TH!E248,Datos!A:A,0)),"")</f>
        <v/>
      </c>
      <c r="C248" s="41" t="str">
        <f>IF(E248&lt;&gt;"",INDEX(Datos!C:C,MATCH(TH!E248,Datos!A:A,0)),"")</f>
        <v/>
      </c>
      <c r="D248" s="23" t="str">
        <f>IF(E248&lt;&gt;"",INDEX(Datos!B:B,MATCH(TH!E248,Datos!A:A,0)),"")</f>
        <v/>
      </c>
      <c r="E248"/>
      <c r="F248" s="35"/>
      <c r="G248" s="36">
        <v>2026</v>
      </c>
      <c r="H248" s="37">
        <v>9</v>
      </c>
      <c r="I248" s="62"/>
      <c r="J248" s="52" t="s">
        <v>528</v>
      </c>
      <c r="K248" s="53">
        <v>46154</v>
      </c>
      <c r="L248" s="34" t="s">
        <v>7</v>
      </c>
      <c r="M248" s="38"/>
      <c r="N248" s="38"/>
      <c r="O248" s="38">
        <f t="shared" si="14"/>
        <v>0</v>
      </c>
      <c r="P248" s="38"/>
      <c r="Q248" s="38"/>
      <c r="R248" s="38"/>
      <c r="S248" s="38"/>
      <c r="T248" s="38"/>
      <c r="U248" s="38">
        <f t="shared" si="15"/>
        <v>0</v>
      </c>
      <c r="V248" s="39"/>
      <c r="W248" s="39"/>
      <c r="X248" s="39"/>
      <c r="Y248" s="39"/>
      <c r="Z248" s="39"/>
      <c r="AA248" s="39"/>
      <c r="AB248" s="39"/>
      <c r="AC248" s="7"/>
    </row>
    <row r="249" spans="1:29" ht="18" customHeight="1" x14ac:dyDescent="0.3">
      <c r="A249" s="44">
        <v>245</v>
      </c>
      <c r="B249" s="41" t="str">
        <f>IF(E249&lt;&gt;"",INDEX(Datos!D:D,MATCH(TH!E249,Datos!A:A,0)),"")</f>
        <v/>
      </c>
      <c r="C249" s="41" t="str">
        <f>IF(E249&lt;&gt;"",INDEX(Datos!C:C,MATCH(TH!E249,Datos!A:A,0)),"")</f>
        <v/>
      </c>
      <c r="D249" s="23" t="str">
        <f>IF(E249&lt;&gt;"",INDEX(Datos!B:B,MATCH(TH!E249,Datos!A:A,0)),"")</f>
        <v/>
      </c>
      <c r="E249"/>
      <c r="F249" s="35"/>
      <c r="G249" s="36">
        <v>2026</v>
      </c>
      <c r="H249" s="37">
        <v>9</v>
      </c>
      <c r="I249" s="62"/>
      <c r="J249" s="52" t="s">
        <v>528</v>
      </c>
      <c r="K249" s="53">
        <v>46154</v>
      </c>
      <c r="L249" s="34" t="s">
        <v>7</v>
      </c>
      <c r="M249" s="38"/>
      <c r="N249" s="38"/>
      <c r="O249" s="38">
        <f t="shared" si="14"/>
        <v>0</v>
      </c>
      <c r="P249" s="38"/>
      <c r="Q249" s="38"/>
      <c r="R249" s="38"/>
      <c r="S249" s="38"/>
      <c r="T249" s="38"/>
      <c r="U249" s="38">
        <f t="shared" si="15"/>
        <v>0</v>
      </c>
      <c r="V249" s="39"/>
      <c r="W249" s="39"/>
      <c r="X249" s="39"/>
      <c r="Y249" s="39"/>
      <c r="Z249" s="39"/>
      <c r="AA249" s="39"/>
      <c r="AB249" s="39"/>
      <c r="AC249" s="7"/>
    </row>
    <row r="250" spans="1:29" ht="18" customHeight="1" x14ac:dyDescent="0.3">
      <c r="A250" s="44">
        <v>246</v>
      </c>
      <c r="B250" s="41" t="str">
        <f>IF(E250&lt;&gt;"",INDEX(Datos!D:D,MATCH(TH!E250,Datos!A:A,0)),"")</f>
        <v/>
      </c>
      <c r="C250" s="41" t="str">
        <f>IF(E250&lt;&gt;"",INDEX(Datos!C:C,MATCH(TH!E250,Datos!A:A,0)),"")</f>
        <v/>
      </c>
      <c r="D250" s="23" t="str">
        <f>IF(E250&lt;&gt;"",INDEX(Datos!B:B,MATCH(TH!E250,Datos!A:A,0)),"")</f>
        <v/>
      </c>
      <c r="E250" s="68"/>
      <c r="F250" s="35"/>
      <c r="G250" s="36">
        <v>2026</v>
      </c>
      <c r="H250" s="37">
        <v>9</v>
      </c>
      <c r="I250" s="62"/>
      <c r="J250" s="52" t="s">
        <v>528</v>
      </c>
      <c r="K250" s="53">
        <v>46154</v>
      </c>
      <c r="L250" s="34" t="s">
        <v>7</v>
      </c>
      <c r="M250" s="38"/>
      <c r="N250" s="38"/>
      <c r="O250" s="38">
        <f t="shared" si="14"/>
        <v>0</v>
      </c>
      <c r="P250" s="38"/>
      <c r="Q250" s="38"/>
      <c r="R250" s="38"/>
      <c r="S250" s="38"/>
      <c r="T250" s="46"/>
      <c r="U250" s="38">
        <f t="shared" si="15"/>
        <v>0</v>
      </c>
      <c r="V250" s="39"/>
      <c r="W250" s="39"/>
      <c r="X250" s="39"/>
      <c r="Y250" s="39"/>
      <c r="Z250" s="39"/>
      <c r="AA250" s="39"/>
      <c r="AB250" s="39"/>
      <c r="AC250" s="7"/>
    </row>
    <row r="251" spans="1:29" ht="18" customHeight="1" x14ac:dyDescent="0.3">
      <c r="A251" s="45">
        <v>247</v>
      </c>
      <c r="B251" s="41" t="str">
        <f>IF(E251&lt;&gt;"",INDEX(Datos!D:D,MATCH(TH!E251,Datos!A:A,0)),"")</f>
        <v/>
      </c>
      <c r="C251" s="41" t="str">
        <f>IF(E251&lt;&gt;"",INDEX(Datos!C:C,MATCH(TH!E251,Datos!A:A,0)),"")</f>
        <v/>
      </c>
      <c r="D251" s="23" t="str">
        <f>IF(E251&lt;&gt;"",INDEX(Datos!B:B,MATCH(TH!E251,Datos!A:A,0)),"")</f>
        <v/>
      </c>
      <c r="E251" s="68"/>
      <c r="F251" s="35"/>
      <c r="G251" s="36">
        <v>2026</v>
      </c>
      <c r="H251" s="37">
        <v>9</v>
      </c>
      <c r="I251" s="62"/>
      <c r="J251" s="52" t="s">
        <v>528</v>
      </c>
      <c r="K251" s="53">
        <v>46154</v>
      </c>
      <c r="L251" s="34" t="s">
        <v>7</v>
      </c>
      <c r="M251" s="38"/>
      <c r="N251" s="46"/>
      <c r="O251" s="38">
        <f t="shared" si="14"/>
        <v>0</v>
      </c>
      <c r="P251" s="38"/>
      <c r="Q251" s="38"/>
      <c r="R251" s="38"/>
      <c r="S251" s="38"/>
      <c r="T251" s="46"/>
      <c r="U251" s="38">
        <f t="shared" si="15"/>
        <v>0</v>
      </c>
      <c r="V251" s="39"/>
      <c r="W251" s="39"/>
      <c r="X251" s="39"/>
      <c r="Y251" s="39"/>
      <c r="Z251" s="39"/>
      <c r="AA251" s="39"/>
      <c r="AB251" s="39"/>
      <c r="AC251" s="7"/>
    </row>
    <row r="252" spans="1:29" ht="18" customHeight="1" x14ac:dyDescent="0.3">
      <c r="A252" s="44">
        <v>248</v>
      </c>
      <c r="B252" s="41" t="str">
        <f>IF(E252&lt;&gt;"",INDEX(Datos!D:D,MATCH(TH!E252,Datos!A:A,0)),"")</f>
        <v/>
      </c>
      <c r="C252" s="41" t="str">
        <f>IF(E252&lt;&gt;"",INDEX(Datos!C:C,MATCH(TH!E252,Datos!A:A,0)),"")</f>
        <v/>
      </c>
      <c r="D252" s="23" t="str">
        <f>IF(E252&lt;&gt;"",INDEX(Datos!B:B,MATCH(TH!E252,Datos!A:A,0)),"")</f>
        <v/>
      </c>
      <c r="E252" s="43"/>
      <c r="F252" s="35"/>
      <c r="G252" s="36">
        <v>2026</v>
      </c>
      <c r="H252" s="37">
        <v>9</v>
      </c>
      <c r="I252" s="62"/>
      <c r="J252" s="52" t="s">
        <v>528</v>
      </c>
      <c r="K252" s="53">
        <v>46154</v>
      </c>
      <c r="L252" s="34" t="s">
        <v>7</v>
      </c>
      <c r="M252" s="38"/>
      <c r="N252" s="46"/>
      <c r="O252" s="38">
        <f t="shared" si="14"/>
        <v>0</v>
      </c>
      <c r="P252" s="38"/>
      <c r="Q252" s="38"/>
      <c r="R252" s="38"/>
      <c r="S252" s="38"/>
      <c r="T252" s="46"/>
      <c r="U252" s="38">
        <f t="shared" si="15"/>
        <v>0</v>
      </c>
      <c r="V252" s="39"/>
      <c r="W252" s="39"/>
      <c r="X252" s="39"/>
      <c r="Y252" s="39"/>
      <c r="Z252" s="39"/>
      <c r="AA252" s="39"/>
      <c r="AB252" s="39"/>
      <c r="AC252" s="7"/>
    </row>
    <row r="253" spans="1:29" ht="18" customHeight="1" x14ac:dyDescent="0.3">
      <c r="A253" s="45">
        <v>249</v>
      </c>
      <c r="B253" s="41" t="str">
        <f>IF(E253&lt;&gt;"",INDEX(Datos!D:D,MATCH(TH!E253,Datos!A:A,0)),"")</f>
        <v/>
      </c>
      <c r="C253" s="41" t="str">
        <f>IF(E253&lt;&gt;"",INDEX(Datos!C:C,MATCH(TH!E253,Datos!A:A,0)),"")</f>
        <v/>
      </c>
      <c r="D253" s="23" t="str">
        <f>IF(E253&lt;&gt;"",INDEX(Datos!B:B,MATCH(TH!E253,Datos!A:A,0)),"")</f>
        <v/>
      </c>
      <c r="E253" s="43"/>
      <c r="F253" s="35"/>
      <c r="G253" s="36">
        <v>2026</v>
      </c>
      <c r="H253" s="37">
        <v>9</v>
      </c>
      <c r="I253" s="62"/>
      <c r="J253" s="52" t="s">
        <v>528</v>
      </c>
      <c r="K253" s="53">
        <v>46154</v>
      </c>
      <c r="L253" s="34" t="s">
        <v>7</v>
      </c>
      <c r="M253" s="38"/>
      <c r="N253" s="46"/>
      <c r="O253" s="38">
        <f t="shared" si="14"/>
        <v>0</v>
      </c>
      <c r="P253" s="38"/>
      <c r="Q253" s="38"/>
      <c r="R253" s="38"/>
      <c r="S253" s="38"/>
      <c r="T253" s="46"/>
      <c r="U253" s="38">
        <f t="shared" si="15"/>
        <v>0</v>
      </c>
      <c r="V253" s="39"/>
      <c r="W253" s="39"/>
      <c r="X253" s="39"/>
      <c r="Y253" s="39"/>
      <c r="Z253" s="39"/>
      <c r="AA253" s="39"/>
      <c r="AB253" s="39"/>
      <c r="AC253" s="7"/>
    </row>
    <row r="254" spans="1:29" ht="18" customHeight="1" x14ac:dyDescent="0.3">
      <c r="A254" s="45">
        <v>250</v>
      </c>
      <c r="B254" s="41" t="str">
        <f>IF(E254&lt;&gt;"",INDEX(Datos!D:D,MATCH(TH!E254,Datos!A:A,0)),"")</f>
        <v/>
      </c>
      <c r="C254" s="42"/>
      <c r="D254" s="23" t="str">
        <f>IF(E254&lt;&gt;"",INDEX(Datos!B:B,MATCH(TH!E254,Datos!A:A,0)),"")</f>
        <v/>
      </c>
      <c r="E254" s="43"/>
      <c r="F254" s="35"/>
      <c r="G254" s="36">
        <v>2026</v>
      </c>
      <c r="H254" s="37">
        <v>9</v>
      </c>
      <c r="I254" s="62"/>
      <c r="J254" s="52" t="s">
        <v>528</v>
      </c>
      <c r="K254" s="53">
        <v>46154</v>
      </c>
      <c r="L254" s="34" t="s">
        <v>7</v>
      </c>
      <c r="M254" s="38"/>
      <c r="N254" s="46"/>
      <c r="O254" s="38">
        <f t="shared" si="14"/>
        <v>0</v>
      </c>
      <c r="P254" s="38"/>
      <c r="Q254" s="38"/>
      <c r="R254" s="38"/>
      <c r="S254" s="38"/>
      <c r="T254" s="46"/>
      <c r="U254" s="38">
        <f t="shared" si="15"/>
        <v>0</v>
      </c>
      <c r="V254" s="39"/>
      <c r="W254" s="39"/>
      <c r="X254" s="39"/>
      <c r="Y254" s="39"/>
      <c r="Z254" s="39"/>
      <c r="AA254" s="39"/>
      <c r="AB254" s="39"/>
      <c r="AC254" s="7"/>
    </row>
    <row r="255" spans="1:29" ht="18" customHeight="1" x14ac:dyDescent="0.3">
      <c r="A255" s="44">
        <v>251</v>
      </c>
      <c r="B255" s="41" t="str">
        <f>IF(E255&lt;&gt;"",INDEX(Datos!D:D,MATCH(TH!E255,Datos!A:A,0)),"")</f>
        <v/>
      </c>
      <c r="C255" s="42"/>
      <c r="D255" s="23" t="str">
        <f>IF(E255&lt;&gt;"",INDEX(Datos!B:B,MATCH(TH!E255,Datos!A:A,0)),"")</f>
        <v/>
      </c>
      <c r="E255" s="23"/>
      <c r="F255" s="35"/>
      <c r="G255" s="36">
        <v>2026</v>
      </c>
      <c r="H255" s="37">
        <v>9</v>
      </c>
      <c r="I255" s="62"/>
      <c r="J255" s="52" t="s">
        <v>528</v>
      </c>
      <c r="K255" s="53">
        <v>46154</v>
      </c>
      <c r="L255" s="34" t="s">
        <v>7</v>
      </c>
      <c r="M255" s="38"/>
      <c r="N255" s="46"/>
      <c r="O255" s="38">
        <f t="shared" si="14"/>
        <v>0</v>
      </c>
      <c r="P255" s="38"/>
      <c r="Q255" s="38"/>
      <c r="R255" s="38"/>
      <c r="S255" s="38"/>
      <c r="T255" s="46"/>
      <c r="U255" s="38">
        <f t="shared" si="15"/>
        <v>0</v>
      </c>
      <c r="V255" s="39"/>
      <c r="W255" s="39"/>
      <c r="X255" s="39"/>
      <c r="Y255" s="39"/>
      <c r="Z255" s="39"/>
      <c r="AA255" s="39"/>
      <c r="AB255" s="39"/>
      <c r="AC255" s="7"/>
    </row>
    <row r="256" spans="1:29" ht="18" customHeight="1" x14ac:dyDescent="0.3">
      <c r="K256" s="73"/>
      <c r="M256" s="69"/>
      <c r="N256" s="69"/>
      <c r="O256" s="69"/>
    </row>
    <row r="257" spans="11:15" ht="18" customHeight="1" x14ac:dyDescent="0.3">
      <c r="K257" s="73"/>
      <c r="M257" s="69"/>
      <c r="N257" s="69"/>
      <c r="O257" s="69"/>
    </row>
    <row r="1048576" spans="5:18" ht="18" customHeight="1" x14ac:dyDescent="0.3">
      <c r="E1048576"/>
      <c r="F1048576" s="72"/>
      <c r="Q1048576" s="24" t="s">
        <v>633</v>
      </c>
      <c r="R1048576" s="38"/>
    </row>
  </sheetData>
  <autoFilter ref="A5:AE255" xr:uid="{00000000-0009-0000-0000-000000000000}"/>
  <mergeCells count="6">
    <mergeCell ref="AB2:AC2"/>
    <mergeCell ref="AB3:AC3"/>
    <mergeCell ref="J4:N4"/>
    <mergeCell ref="A2:N3"/>
    <mergeCell ref="P4:Q4"/>
    <mergeCell ref="S4:T4"/>
  </mergeCells>
  <phoneticPr fontId="16" type="noConversion"/>
  <conditionalFormatting sqref="U6:U85 U100:U255">
    <cfRule type="expression" dxfId="113" priority="14976">
      <formula>$U6&lt;0.326388888888889</formula>
    </cfRule>
    <cfRule type="expression" dxfId="112" priority="14977">
      <formula>$U6&gt;0.326388888888889</formula>
    </cfRule>
  </conditionalFormatting>
  <conditionalFormatting sqref="E2:E5 E242:E244 E152:E153 E155:E157 E174:E179 E182:E183 E217:E225 E227:E229 E231:E240 E246:E247 E250:E1048575">
    <cfRule type="duplicateValues" dxfId="111" priority="13451"/>
  </conditionalFormatting>
  <conditionalFormatting sqref="E2:E5 E242:E244 E152:E153 E155:E157 E174:E179 E182:E183 E217:E225 E227:E229 E231:E240 E246:E247 E250:E1048575">
    <cfRule type="duplicateValues" dxfId="110" priority="13417"/>
    <cfRule type="duplicateValues" dxfId="109" priority="13424"/>
  </conditionalFormatting>
  <conditionalFormatting sqref="E164">
    <cfRule type="duplicateValues" dxfId="108" priority="1377"/>
  </conditionalFormatting>
  <conditionalFormatting sqref="E164">
    <cfRule type="duplicateValues" dxfId="107" priority="1376"/>
  </conditionalFormatting>
  <conditionalFormatting sqref="E164">
    <cfRule type="duplicateValues" dxfId="106" priority="1374"/>
    <cfRule type="duplicateValues" dxfId="105" priority="1375"/>
  </conditionalFormatting>
  <conditionalFormatting sqref="E201">
    <cfRule type="duplicateValues" dxfId="104" priority="1361"/>
  </conditionalFormatting>
  <conditionalFormatting sqref="E201">
    <cfRule type="duplicateValues" dxfId="103" priority="1359"/>
    <cfRule type="duplicateValues" dxfId="102" priority="1360"/>
  </conditionalFormatting>
  <conditionalFormatting sqref="E159:E160">
    <cfRule type="duplicateValues" dxfId="101" priority="598"/>
  </conditionalFormatting>
  <conditionalFormatting sqref="E159:E160">
    <cfRule type="duplicateValues" dxfId="100" priority="596"/>
    <cfRule type="duplicateValues" dxfId="99" priority="597"/>
  </conditionalFormatting>
  <conditionalFormatting sqref="E209">
    <cfRule type="duplicateValues" dxfId="98" priority="588"/>
  </conditionalFormatting>
  <conditionalFormatting sqref="E209">
    <cfRule type="duplicateValues" dxfId="97" priority="586"/>
    <cfRule type="duplicateValues" dxfId="96" priority="587"/>
  </conditionalFormatting>
  <conditionalFormatting sqref="E215">
    <cfRule type="duplicateValues" dxfId="95" priority="582"/>
  </conditionalFormatting>
  <conditionalFormatting sqref="E215">
    <cfRule type="duplicateValues" dxfId="94" priority="580"/>
    <cfRule type="duplicateValues" dxfId="93" priority="581"/>
  </conditionalFormatting>
  <conditionalFormatting sqref="E195">
    <cfRule type="duplicateValues" dxfId="92" priority="377"/>
  </conditionalFormatting>
  <conditionalFormatting sqref="E195">
    <cfRule type="duplicateValues" dxfId="91" priority="375"/>
    <cfRule type="duplicateValues" dxfId="90" priority="376"/>
  </conditionalFormatting>
  <conditionalFormatting sqref="E199">
    <cfRule type="duplicateValues" dxfId="89" priority="374"/>
  </conditionalFormatting>
  <conditionalFormatting sqref="E199">
    <cfRule type="duplicateValues" dxfId="88" priority="372"/>
    <cfRule type="duplicateValues" dxfId="87" priority="373"/>
  </conditionalFormatting>
  <conditionalFormatting sqref="E216">
    <cfRule type="duplicateValues" dxfId="86" priority="359"/>
  </conditionalFormatting>
  <conditionalFormatting sqref="E216">
    <cfRule type="duplicateValues" dxfId="85" priority="357"/>
    <cfRule type="duplicateValues" dxfId="84" priority="358"/>
  </conditionalFormatting>
  <conditionalFormatting sqref="U86">
    <cfRule type="expression" dxfId="83" priority="120">
      <formula>$U86&lt;0.326388888888889</formula>
    </cfRule>
    <cfRule type="expression" dxfId="82" priority="121">
      <formula>$U86&gt;0.326388888888889</formula>
    </cfRule>
  </conditionalFormatting>
  <conditionalFormatting sqref="U87">
    <cfRule type="expression" dxfId="81" priority="118">
      <formula>$U87&lt;0.326388888888889</formula>
    </cfRule>
    <cfRule type="expression" dxfId="80" priority="119">
      <formula>$U87&gt;0.326388888888889</formula>
    </cfRule>
  </conditionalFormatting>
  <conditionalFormatting sqref="U88:U89">
    <cfRule type="expression" dxfId="79" priority="116">
      <formula>$U88&lt;0.326388888888889</formula>
    </cfRule>
    <cfRule type="expression" dxfId="78" priority="117">
      <formula>$U88&gt;0.326388888888889</formula>
    </cfRule>
  </conditionalFormatting>
  <conditionalFormatting sqref="U90:U91">
    <cfRule type="expression" dxfId="77" priority="114">
      <formula>$U90&lt;0.326388888888889</formula>
    </cfRule>
    <cfRule type="expression" dxfId="76" priority="115">
      <formula>$U90&gt;0.326388888888889</formula>
    </cfRule>
  </conditionalFormatting>
  <conditionalFormatting sqref="U92">
    <cfRule type="expression" dxfId="75" priority="112">
      <formula>$U92&lt;0.326388888888889</formula>
    </cfRule>
    <cfRule type="expression" dxfId="74" priority="113">
      <formula>$U92&gt;0.326388888888889</formula>
    </cfRule>
  </conditionalFormatting>
  <conditionalFormatting sqref="U93:U98">
    <cfRule type="expression" dxfId="73" priority="110">
      <formula>$U93&lt;0.326388888888889</formula>
    </cfRule>
    <cfRule type="expression" dxfId="72" priority="111">
      <formula>$U93&gt;0.326388888888889</formula>
    </cfRule>
  </conditionalFormatting>
  <conditionalFormatting sqref="U99">
    <cfRule type="expression" dxfId="71" priority="108">
      <formula>$U99&lt;0.326388888888889</formula>
    </cfRule>
    <cfRule type="expression" dxfId="70" priority="109">
      <formula>$U99&gt;0.326388888888889</formula>
    </cfRule>
  </conditionalFormatting>
  <conditionalFormatting sqref="E162">
    <cfRule type="duplicateValues" dxfId="69" priority="64"/>
  </conditionalFormatting>
  <conditionalFormatting sqref="E162">
    <cfRule type="duplicateValues" dxfId="68" priority="62"/>
    <cfRule type="duplicateValues" dxfId="67" priority="63"/>
  </conditionalFormatting>
  <conditionalFormatting sqref="E184">
    <cfRule type="duplicateValues" dxfId="66" priority="61"/>
  </conditionalFormatting>
  <conditionalFormatting sqref="E184">
    <cfRule type="duplicateValues" dxfId="65" priority="59"/>
    <cfRule type="duplicateValues" dxfId="64" priority="60"/>
  </conditionalFormatting>
  <conditionalFormatting sqref="E186">
    <cfRule type="duplicateValues" dxfId="63" priority="58"/>
  </conditionalFormatting>
  <conditionalFormatting sqref="E186">
    <cfRule type="duplicateValues" dxfId="62" priority="56"/>
    <cfRule type="duplicateValues" dxfId="61" priority="57"/>
  </conditionalFormatting>
  <conditionalFormatting sqref="E187">
    <cfRule type="duplicateValues" dxfId="60" priority="55"/>
  </conditionalFormatting>
  <conditionalFormatting sqref="E187">
    <cfRule type="duplicateValues" dxfId="59" priority="53"/>
    <cfRule type="duplicateValues" dxfId="58" priority="54"/>
  </conditionalFormatting>
  <conditionalFormatting sqref="E196">
    <cfRule type="duplicateValues" dxfId="57" priority="52"/>
  </conditionalFormatting>
  <conditionalFormatting sqref="E196">
    <cfRule type="duplicateValues" dxfId="56" priority="50"/>
    <cfRule type="duplicateValues" dxfId="55" priority="51"/>
  </conditionalFormatting>
  <conditionalFormatting sqref="E212">
    <cfRule type="duplicateValues" dxfId="54" priority="46"/>
  </conditionalFormatting>
  <conditionalFormatting sqref="E212">
    <cfRule type="duplicateValues" dxfId="53" priority="44"/>
    <cfRule type="duplicateValues" dxfId="52" priority="45"/>
  </conditionalFormatting>
  <conditionalFormatting sqref="E241">
    <cfRule type="duplicateValues" dxfId="51" priority="43"/>
  </conditionalFormatting>
  <conditionalFormatting sqref="E241">
    <cfRule type="duplicateValues" dxfId="50" priority="41"/>
    <cfRule type="duplicateValues" dxfId="49" priority="42"/>
  </conditionalFormatting>
  <conditionalFormatting sqref="E245">
    <cfRule type="duplicateValues" dxfId="48" priority="40"/>
  </conditionalFormatting>
  <conditionalFormatting sqref="E245">
    <cfRule type="duplicateValues" dxfId="47" priority="38"/>
    <cfRule type="duplicateValues" dxfId="46" priority="39"/>
  </conditionalFormatting>
  <conditionalFormatting sqref="E154">
    <cfRule type="duplicateValues" dxfId="45" priority="30"/>
  </conditionalFormatting>
  <conditionalFormatting sqref="E154">
    <cfRule type="duplicateValues" dxfId="44" priority="28"/>
    <cfRule type="duplicateValues" dxfId="43" priority="29"/>
  </conditionalFormatting>
  <conditionalFormatting sqref="E163">
    <cfRule type="duplicateValues" dxfId="42" priority="27"/>
  </conditionalFormatting>
  <conditionalFormatting sqref="E163">
    <cfRule type="duplicateValues" dxfId="41" priority="25"/>
    <cfRule type="duplicateValues" dxfId="40" priority="26"/>
  </conditionalFormatting>
  <conditionalFormatting sqref="E185">
    <cfRule type="duplicateValues" dxfId="39" priority="24"/>
  </conditionalFormatting>
  <conditionalFormatting sqref="E185">
    <cfRule type="duplicateValues" dxfId="38" priority="22"/>
    <cfRule type="duplicateValues" dxfId="37" priority="23"/>
  </conditionalFormatting>
  <conditionalFormatting sqref="E200">
    <cfRule type="duplicateValues" dxfId="36" priority="21"/>
  </conditionalFormatting>
  <conditionalFormatting sqref="E200">
    <cfRule type="duplicateValues" dxfId="35" priority="19"/>
    <cfRule type="duplicateValues" dxfId="34" priority="20"/>
  </conditionalFormatting>
  <conditionalFormatting sqref="E202">
    <cfRule type="duplicateValues" dxfId="33" priority="18"/>
  </conditionalFormatting>
  <conditionalFormatting sqref="E202">
    <cfRule type="duplicateValues" dxfId="32" priority="16"/>
    <cfRule type="duplicateValues" dxfId="31" priority="17"/>
  </conditionalFormatting>
  <conditionalFormatting sqref="E210">
    <cfRule type="duplicateValues" dxfId="30" priority="15"/>
  </conditionalFormatting>
  <conditionalFormatting sqref="E210">
    <cfRule type="duplicateValues" dxfId="29" priority="13"/>
    <cfRule type="duplicateValues" dxfId="28" priority="14"/>
  </conditionalFormatting>
  <conditionalFormatting sqref="E211">
    <cfRule type="duplicateValues" dxfId="27" priority="12"/>
  </conditionalFormatting>
  <conditionalFormatting sqref="E211">
    <cfRule type="duplicateValues" dxfId="26" priority="10"/>
    <cfRule type="duplicateValues" dxfId="25" priority="11"/>
  </conditionalFormatting>
  <conditionalFormatting sqref="E213">
    <cfRule type="duplicateValues" dxfId="24" priority="9"/>
  </conditionalFormatting>
  <conditionalFormatting sqref="E213">
    <cfRule type="duplicateValues" dxfId="23" priority="7"/>
    <cfRule type="duplicateValues" dxfId="22" priority="8"/>
  </conditionalFormatting>
  <conditionalFormatting sqref="E214">
    <cfRule type="duplicateValues" dxfId="21" priority="6"/>
  </conditionalFormatting>
  <conditionalFormatting sqref="E214">
    <cfRule type="duplicateValues" dxfId="20" priority="4"/>
    <cfRule type="duplicateValues" dxfId="19" priority="5"/>
  </conditionalFormatting>
  <conditionalFormatting sqref="E230">
    <cfRule type="duplicateValues" dxfId="18" priority="3"/>
  </conditionalFormatting>
  <conditionalFormatting sqref="E230">
    <cfRule type="duplicateValues" dxfId="17" priority="1"/>
    <cfRule type="duplicateValues" dxfId="16" priority="2"/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K2841"/>
  <sheetViews>
    <sheetView workbookViewId="0">
      <selection activeCell="K18" sqref="K18"/>
    </sheetView>
  </sheetViews>
  <sheetFormatPr baseColWidth="10" defaultColWidth="11.5546875" defaultRowHeight="14.4" x14ac:dyDescent="0.3"/>
  <cols>
    <col min="1" max="6" width="11.5546875" style="24"/>
    <col min="7" max="7" width="11.5546875" style="25"/>
    <col min="8" max="8" width="11.5546875" style="28"/>
    <col min="9" max="9" width="11.5546875" style="25"/>
    <col min="10" max="11" width="11.5546875" style="29"/>
    <col min="12" max="16384" width="11.5546875" style="25"/>
  </cols>
  <sheetData>
    <row r="1" spans="1:11" x14ac:dyDescent="0.3">
      <c r="A1" s="32" t="s">
        <v>0</v>
      </c>
      <c r="B1" s="32" t="s">
        <v>12</v>
      </c>
      <c r="C1" s="32" t="s">
        <v>1</v>
      </c>
      <c r="D1" s="32" t="s">
        <v>2</v>
      </c>
      <c r="E1" s="32" t="s">
        <v>3</v>
      </c>
      <c r="F1" s="32" t="s">
        <v>18</v>
      </c>
      <c r="G1" t="s">
        <v>19</v>
      </c>
      <c r="H1" s="30" t="s">
        <v>5</v>
      </c>
      <c r="I1" t="s">
        <v>6</v>
      </c>
      <c r="J1" s="31" t="s">
        <v>20</v>
      </c>
      <c r="K1" s="31" t="s">
        <v>8</v>
      </c>
    </row>
    <row r="2" spans="1:11" x14ac:dyDescent="0.3">
      <c r="A2" s="32">
        <v>40</v>
      </c>
      <c r="B2" s="32">
        <f>+TH!E6</f>
        <v>1040364416</v>
      </c>
      <c r="C2" s="32" t="str">
        <f>+TH!F6</f>
        <v>010</v>
      </c>
      <c r="D2" s="32">
        <f>+TH!G6</f>
        <v>2026</v>
      </c>
      <c r="E2" s="32">
        <f>+TH!H6</f>
        <v>9</v>
      </c>
      <c r="F2" s="32" t="str">
        <f>+TH!I6</f>
        <v>5.0</v>
      </c>
      <c r="G2" s="32" t="str">
        <f>+TH!J6</f>
        <v>D</v>
      </c>
      <c r="H2" s="30">
        <f>+TH!K6</f>
        <v>46154</v>
      </c>
      <c r="I2" s="32" t="str">
        <f>+TH!L6</f>
        <v>NORMA</v>
      </c>
      <c r="J2" s="31">
        <f>+TH!M6</f>
        <v>0.79166666666666663</v>
      </c>
      <c r="K2" s="31">
        <f>+TH!N6</f>
        <v>0.99930555555555556</v>
      </c>
    </row>
    <row r="3" spans="1:11" x14ac:dyDescent="0.3">
      <c r="A3" s="32">
        <v>40</v>
      </c>
      <c r="B3" s="32">
        <f>+TH!E7</f>
        <v>1040364416</v>
      </c>
      <c r="C3" s="32" t="str">
        <f>+TH!F7</f>
        <v>010</v>
      </c>
      <c r="D3" s="32">
        <f>+TH!G7</f>
        <v>2026</v>
      </c>
      <c r="E3" s="32">
        <f>+TH!H7</f>
        <v>9</v>
      </c>
      <c r="F3" s="32" t="str">
        <f>+TH!I7</f>
        <v>3.0</v>
      </c>
      <c r="G3" s="32" t="str">
        <f>+TH!J7</f>
        <v>D</v>
      </c>
      <c r="H3" s="30">
        <f>+TH!K7</f>
        <v>46155</v>
      </c>
      <c r="I3" s="32" t="str">
        <f>+TH!L7</f>
        <v>NORMA</v>
      </c>
      <c r="J3" s="31">
        <f>+TH!M7</f>
        <v>0</v>
      </c>
      <c r="K3" s="31">
        <f>+TH!N7</f>
        <v>0.125</v>
      </c>
    </row>
    <row r="4" spans="1:11" x14ac:dyDescent="0.3">
      <c r="A4" s="32">
        <v>40</v>
      </c>
      <c r="B4" s="32">
        <f>+TH!E8</f>
        <v>1040364416</v>
      </c>
      <c r="C4" s="32" t="str">
        <f>+TH!F8</f>
        <v>016</v>
      </c>
      <c r="D4" s="32">
        <f>+TH!G8</f>
        <v>2026</v>
      </c>
      <c r="E4" s="32">
        <f>+TH!H8</f>
        <v>9</v>
      </c>
      <c r="F4" s="32" t="str">
        <f>+TH!I8</f>
        <v>2.50</v>
      </c>
      <c r="G4" s="32" t="str">
        <f>+TH!J8</f>
        <v>D</v>
      </c>
      <c r="H4" s="30">
        <f>+TH!K8</f>
        <v>46155</v>
      </c>
      <c r="I4" s="32" t="str">
        <f>+TH!L8</f>
        <v>NORMA</v>
      </c>
      <c r="J4" s="31">
        <f>+TH!M8</f>
        <v>0.12569444444444444</v>
      </c>
      <c r="K4" s="31">
        <f>+TH!N8</f>
        <v>0.24305555555555555</v>
      </c>
    </row>
    <row r="5" spans="1:11" x14ac:dyDescent="0.3">
      <c r="A5" s="32">
        <v>40</v>
      </c>
      <c r="B5" s="32">
        <f>+TH!E9</f>
        <v>71946681</v>
      </c>
      <c r="C5" s="32" t="str">
        <f>+TH!F9</f>
        <v>010</v>
      </c>
      <c r="D5" s="32">
        <f>+TH!G9</f>
        <v>2026</v>
      </c>
      <c r="E5" s="32">
        <f>+TH!H9</f>
        <v>9</v>
      </c>
      <c r="F5" s="32" t="str">
        <f>+TH!I9</f>
        <v>5.0</v>
      </c>
      <c r="G5" s="32" t="str">
        <f>+TH!J9</f>
        <v>D</v>
      </c>
      <c r="H5" s="30">
        <f>+TH!K9</f>
        <v>46154</v>
      </c>
      <c r="I5" s="32" t="str">
        <f>+TH!L9</f>
        <v>NORMA</v>
      </c>
      <c r="J5" s="31">
        <f>+TH!M9</f>
        <v>0.79166666666666663</v>
      </c>
      <c r="K5" s="31">
        <f>+TH!N9</f>
        <v>0.99930555555555556</v>
      </c>
    </row>
    <row r="6" spans="1:11" x14ac:dyDescent="0.3">
      <c r="A6" s="32">
        <v>40</v>
      </c>
      <c r="B6" s="32">
        <f>+TH!E10</f>
        <v>71946681</v>
      </c>
      <c r="C6" s="32" t="str">
        <f>+TH!F10</f>
        <v>010</v>
      </c>
      <c r="D6" s="32">
        <f>+TH!G10</f>
        <v>2026</v>
      </c>
      <c r="E6" s="32">
        <f>+TH!H10</f>
        <v>9</v>
      </c>
      <c r="F6" s="32" t="str">
        <f>+TH!I10</f>
        <v>1.30</v>
      </c>
      <c r="G6" s="32" t="str">
        <f>+TH!J10</f>
        <v>D</v>
      </c>
      <c r="H6" s="30">
        <f>+TH!K10</f>
        <v>46155</v>
      </c>
      <c r="I6" s="32" t="str">
        <f>+TH!L10</f>
        <v>NORMA</v>
      </c>
      <c r="J6" s="31">
        <f>+TH!M10</f>
        <v>0</v>
      </c>
      <c r="K6" s="31">
        <f>+TH!N10</f>
        <v>6.25E-2</v>
      </c>
    </row>
    <row r="7" spans="1:11" x14ac:dyDescent="0.3">
      <c r="A7" s="32">
        <v>40</v>
      </c>
      <c r="B7" s="32">
        <f>+TH!E11</f>
        <v>71946681</v>
      </c>
      <c r="C7" s="32" t="str">
        <f>+TH!F11</f>
        <v>016</v>
      </c>
      <c r="D7" s="32">
        <f>+TH!G11</f>
        <v>2026</v>
      </c>
      <c r="E7" s="32">
        <f>+TH!H11</f>
        <v>9</v>
      </c>
      <c r="F7" s="32" t="str">
        <f>+TH!I11</f>
        <v>3.50</v>
      </c>
      <c r="G7" s="32" t="str">
        <f>+TH!J11</f>
        <v>D</v>
      </c>
      <c r="H7" s="30">
        <f>+TH!K11</f>
        <v>46155</v>
      </c>
      <c r="I7" s="32" t="str">
        <f>+TH!L11</f>
        <v>NORMA</v>
      </c>
      <c r="J7" s="31">
        <f>+TH!M11</f>
        <v>6.3194444444444442E-2</v>
      </c>
      <c r="K7" s="31">
        <f>+TH!N11</f>
        <v>0.22222222222222221</v>
      </c>
    </row>
    <row r="8" spans="1:11" x14ac:dyDescent="0.3">
      <c r="A8" s="32">
        <v>40</v>
      </c>
      <c r="B8" s="32">
        <f>+TH!E12</f>
        <v>70220430</v>
      </c>
      <c r="C8" s="32" t="str">
        <f>+TH!F12</f>
        <v>015</v>
      </c>
      <c r="D8" s="32">
        <f>+TH!G12</f>
        <v>2026</v>
      </c>
      <c r="E8" s="32">
        <f>+TH!H12</f>
        <v>9</v>
      </c>
      <c r="F8" s="32" t="str">
        <f>+TH!I12</f>
        <v>2.0</v>
      </c>
      <c r="G8" s="32" t="str">
        <f>+TH!J12</f>
        <v>D</v>
      </c>
      <c r="H8" s="30">
        <f>+TH!K12</f>
        <v>46154</v>
      </c>
      <c r="I8" s="32" t="str">
        <f>+TH!L12</f>
        <v>NORMA</v>
      </c>
      <c r="J8" s="31">
        <f>+TH!M12</f>
        <v>0.60416666666666663</v>
      </c>
      <c r="K8" s="31">
        <f>+TH!N12</f>
        <v>0.6875</v>
      </c>
    </row>
    <row r="9" spans="1:11" x14ac:dyDescent="0.3">
      <c r="A9" s="32">
        <v>40</v>
      </c>
      <c r="B9" s="32">
        <f>+TH!E13</f>
        <v>1028013418</v>
      </c>
      <c r="C9" s="32" t="str">
        <f>+TH!F13</f>
        <v>015</v>
      </c>
      <c r="D9" s="32">
        <f>+TH!G13</f>
        <v>2026</v>
      </c>
      <c r="E9" s="32">
        <f>+TH!H13</f>
        <v>9</v>
      </c>
      <c r="F9" s="32" t="str">
        <f>+TH!I13</f>
        <v>3.30</v>
      </c>
      <c r="G9" s="32" t="str">
        <f>+TH!J13</f>
        <v>D</v>
      </c>
      <c r="H9" s="30">
        <f>+TH!K13</f>
        <v>46154</v>
      </c>
      <c r="I9" s="32" t="str">
        <f>+TH!L13</f>
        <v>NORMA</v>
      </c>
      <c r="J9" s="31">
        <f>+TH!M13</f>
        <v>0.60416666666666663</v>
      </c>
      <c r="K9" s="31">
        <f>+TH!N13</f>
        <v>0.75</v>
      </c>
    </row>
    <row r="10" spans="1:11" x14ac:dyDescent="0.3">
      <c r="A10" s="32">
        <v>40</v>
      </c>
      <c r="B10" s="32">
        <f>+TH!E14</f>
        <v>1001248864</v>
      </c>
      <c r="C10" s="32" t="str">
        <f>+TH!F14</f>
        <v>015</v>
      </c>
      <c r="D10" s="32">
        <f>+TH!G14</f>
        <v>2026</v>
      </c>
      <c r="E10" s="32">
        <f>+TH!H14</f>
        <v>9</v>
      </c>
      <c r="F10" s="32" t="str">
        <f>+TH!I14</f>
        <v>4.0</v>
      </c>
      <c r="G10" s="32" t="str">
        <f>+TH!J14</f>
        <v>D</v>
      </c>
      <c r="H10" s="30">
        <f>+TH!K14</f>
        <v>46154</v>
      </c>
      <c r="I10" s="32" t="str">
        <f>+TH!L14</f>
        <v>NORMA</v>
      </c>
      <c r="J10" s="31">
        <f>+TH!M14</f>
        <v>0.60416666666666663</v>
      </c>
      <c r="K10" s="31">
        <f>+TH!N14</f>
        <v>0.77083333333333337</v>
      </c>
    </row>
    <row r="11" spans="1:11" x14ac:dyDescent="0.3">
      <c r="A11" s="32">
        <v>40</v>
      </c>
      <c r="B11" s="32">
        <f>+TH!E15</f>
        <v>71948360</v>
      </c>
      <c r="C11" s="32" t="str">
        <f>+TH!F15</f>
        <v>015</v>
      </c>
      <c r="D11" s="32">
        <f>+TH!G15</f>
        <v>2026</v>
      </c>
      <c r="E11" s="32">
        <f>+TH!H15</f>
        <v>9</v>
      </c>
      <c r="F11" s="32" t="str">
        <f>+TH!I15</f>
        <v>3.0</v>
      </c>
      <c r="G11" s="32" t="str">
        <f>+TH!J15</f>
        <v>D</v>
      </c>
      <c r="H11" s="30">
        <f>+TH!K15</f>
        <v>46154</v>
      </c>
      <c r="I11" s="32" t="str">
        <f>+TH!L15</f>
        <v>NORMA</v>
      </c>
      <c r="J11" s="31">
        <f>+TH!M15</f>
        <v>0.60416666666666663</v>
      </c>
      <c r="K11" s="31">
        <f>+TH!N15</f>
        <v>0.72916666666666663</v>
      </c>
    </row>
    <row r="12" spans="1:11" x14ac:dyDescent="0.3">
      <c r="A12" s="32">
        <v>40</v>
      </c>
      <c r="B12" s="32">
        <f>+TH!E16</f>
        <v>3362230</v>
      </c>
      <c r="C12" s="32" t="str">
        <f>+TH!F16</f>
        <v>015</v>
      </c>
      <c r="D12" s="32">
        <f>+TH!G16</f>
        <v>2026</v>
      </c>
      <c r="E12" s="32">
        <f>+TH!H16</f>
        <v>9</v>
      </c>
      <c r="F12" s="32" t="str">
        <f>+TH!I16</f>
        <v>3.0</v>
      </c>
      <c r="G12" s="32" t="str">
        <f>+TH!J16</f>
        <v>D</v>
      </c>
      <c r="H12" s="30">
        <f>+TH!K16</f>
        <v>46154</v>
      </c>
      <c r="I12" s="32" t="str">
        <f>+TH!L16</f>
        <v>NORMA</v>
      </c>
      <c r="J12" s="31">
        <f>+TH!M16</f>
        <v>0.60416666666666663</v>
      </c>
      <c r="K12" s="31">
        <f>+TH!N16</f>
        <v>0.72916666666666663</v>
      </c>
    </row>
    <row r="13" spans="1:11" x14ac:dyDescent="0.3">
      <c r="A13" s="32">
        <v>40</v>
      </c>
      <c r="B13" s="32">
        <f>+TH!E17</f>
        <v>1028019514</v>
      </c>
      <c r="C13" s="32" t="str">
        <f>+TH!F17</f>
        <v>015</v>
      </c>
      <c r="D13" s="32">
        <f>+TH!G17</f>
        <v>2026</v>
      </c>
      <c r="E13" s="32">
        <f>+TH!H17</f>
        <v>9</v>
      </c>
      <c r="F13" s="32" t="str">
        <f>+TH!I17</f>
        <v>4.30</v>
      </c>
      <c r="G13" s="32" t="str">
        <f>+TH!J17</f>
        <v>D</v>
      </c>
      <c r="H13" s="30">
        <f>+TH!K17</f>
        <v>46154</v>
      </c>
      <c r="I13" s="32" t="str">
        <f>+TH!L17</f>
        <v>NORMA</v>
      </c>
      <c r="J13" s="31">
        <f>+TH!M17</f>
        <v>0.60416666666666663</v>
      </c>
      <c r="K13" s="31">
        <f>+TH!N17</f>
        <v>0.79166666666666663</v>
      </c>
    </row>
    <row r="14" spans="1:11" x14ac:dyDescent="0.3">
      <c r="A14" s="32">
        <v>40</v>
      </c>
      <c r="B14" s="32">
        <f>+TH!E18</f>
        <v>1028019514</v>
      </c>
      <c r="C14" s="32" t="str">
        <f>+TH!F18</f>
        <v>016</v>
      </c>
      <c r="D14" s="32">
        <f>+TH!G18</f>
        <v>2026</v>
      </c>
      <c r="E14" s="32">
        <f>+TH!H18</f>
        <v>9</v>
      </c>
      <c r="F14" s="32" t="str">
        <f>+TH!I18</f>
        <v>1.30</v>
      </c>
      <c r="G14" s="32" t="str">
        <f>+TH!J18</f>
        <v>D</v>
      </c>
      <c r="H14" s="30">
        <f>+TH!K18</f>
        <v>46154</v>
      </c>
      <c r="I14" s="32" t="str">
        <f>+TH!L18</f>
        <v>NORMA</v>
      </c>
      <c r="J14" s="31">
        <f>+TH!M18</f>
        <v>0.79236111111111107</v>
      </c>
      <c r="K14" s="31">
        <f>+TH!N18</f>
        <v>0.85416666666666663</v>
      </c>
    </row>
    <row r="15" spans="1:11" x14ac:dyDescent="0.3">
      <c r="A15" s="32">
        <v>40</v>
      </c>
      <c r="B15" s="32">
        <f>+TH!E19</f>
        <v>1028021127</v>
      </c>
      <c r="C15" s="32" t="str">
        <f>+TH!F19</f>
        <v>015</v>
      </c>
      <c r="D15" s="32">
        <f>+TH!G19</f>
        <v>2026</v>
      </c>
      <c r="E15" s="32">
        <f>+TH!H19</f>
        <v>9</v>
      </c>
      <c r="F15" s="32" t="str">
        <f>+TH!I19</f>
        <v>3.0</v>
      </c>
      <c r="G15" s="32" t="str">
        <f>+TH!J19</f>
        <v>D</v>
      </c>
      <c r="H15" s="30">
        <f>+TH!K19</f>
        <v>46154</v>
      </c>
      <c r="I15" s="32" t="str">
        <f>+TH!L19</f>
        <v>NORMA</v>
      </c>
      <c r="J15" s="31">
        <f>+TH!M19</f>
        <v>0.60416666666666663</v>
      </c>
      <c r="K15" s="31">
        <f>+TH!N19</f>
        <v>0.72916666666666663</v>
      </c>
    </row>
    <row r="16" spans="1:11" x14ac:dyDescent="0.3">
      <c r="A16" s="32">
        <v>40</v>
      </c>
      <c r="B16" s="32">
        <f>+TH!E20</f>
        <v>1001503758</v>
      </c>
      <c r="C16" s="32" t="str">
        <f>+TH!F20</f>
        <v>015</v>
      </c>
      <c r="D16" s="32">
        <f>+TH!G20</f>
        <v>2026</v>
      </c>
      <c r="E16" s="32">
        <f>+TH!H20</f>
        <v>9</v>
      </c>
      <c r="F16" s="32" t="str">
        <f>+TH!I20</f>
        <v>4.30</v>
      </c>
      <c r="G16" s="32" t="str">
        <f>+TH!J20</f>
        <v>D</v>
      </c>
      <c r="H16" s="30">
        <f>+TH!K20</f>
        <v>46154</v>
      </c>
      <c r="I16" s="32" t="str">
        <f>+TH!L20</f>
        <v>NORMA</v>
      </c>
      <c r="J16" s="31">
        <f>+TH!M20</f>
        <v>0.60416666666666663</v>
      </c>
      <c r="K16" s="31">
        <f>+TH!N20</f>
        <v>0.79166666666666663</v>
      </c>
    </row>
    <row r="17" spans="1:11" x14ac:dyDescent="0.3">
      <c r="A17" s="32">
        <v>40</v>
      </c>
      <c r="B17" s="32">
        <f>+TH!E21</f>
        <v>1001503758</v>
      </c>
      <c r="C17" s="32" t="str">
        <f>+TH!F21</f>
        <v>016</v>
      </c>
      <c r="D17" s="32">
        <f>+TH!G21</f>
        <v>2026</v>
      </c>
      <c r="E17" s="32">
        <f>+TH!H21</f>
        <v>9</v>
      </c>
      <c r="F17" s="32" t="str">
        <f>+TH!I21</f>
        <v>0.30</v>
      </c>
      <c r="G17" s="32" t="str">
        <f>+TH!J21</f>
        <v>D</v>
      </c>
      <c r="H17" s="30">
        <f>+TH!K21</f>
        <v>46154</v>
      </c>
      <c r="I17" s="32" t="str">
        <f>+TH!L21</f>
        <v>NORMA</v>
      </c>
      <c r="J17" s="31">
        <f>+TH!M21</f>
        <v>0.79236111111111107</v>
      </c>
      <c r="K17" s="31">
        <f>+TH!N21</f>
        <v>0.8125</v>
      </c>
    </row>
    <row r="18" spans="1:11" x14ac:dyDescent="0.3">
      <c r="A18" s="32">
        <v>40</v>
      </c>
      <c r="B18" s="32">
        <f>+TH!E22</f>
        <v>1028031721</v>
      </c>
      <c r="C18" s="32" t="str">
        <f>+TH!F22</f>
        <v>015</v>
      </c>
      <c r="D18" s="32">
        <f>+TH!G22</f>
        <v>2026</v>
      </c>
      <c r="E18" s="32">
        <f>+TH!H22</f>
        <v>9</v>
      </c>
      <c r="F18" s="32" t="str">
        <f>+TH!I22</f>
        <v>2.30</v>
      </c>
      <c r="G18" s="32" t="str">
        <f>+TH!J22</f>
        <v>D</v>
      </c>
      <c r="H18" s="30">
        <f>+TH!K22</f>
        <v>46154</v>
      </c>
      <c r="I18" s="32" t="str">
        <f>+TH!L22</f>
        <v>NORMA</v>
      </c>
      <c r="J18" s="31">
        <f>+TH!M22</f>
        <v>0.60416666666666663</v>
      </c>
      <c r="K18" s="31">
        <f>+TH!N22</f>
        <v>0.70833333333333337</v>
      </c>
    </row>
    <row r="19" spans="1:11" x14ac:dyDescent="0.3">
      <c r="A19" s="32">
        <v>40</v>
      </c>
      <c r="B19" s="32">
        <f>+TH!E23</f>
        <v>8324343</v>
      </c>
      <c r="C19" s="32" t="str">
        <f>+TH!F23</f>
        <v>015</v>
      </c>
      <c r="D19" s="32">
        <f>+TH!G23</f>
        <v>2026</v>
      </c>
      <c r="E19" s="32">
        <f>+TH!H23</f>
        <v>9</v>
      </c>
      <c r="F19" s="32" t="str">
        <f>+TH!I23</f>
        <v>4.30</v>
      </c>
      <c r="G19" s="32" t="str">
        <f>+TH!J23</f>
        <v>D</v>
      </c>
      <c r="H19" s="30">
        <f>+TH!K23</f>
        <v>46154</v>
      </c>
      <c r="I19" s="32" t="str">
        <f>+TH!L23</f>
        <v>NORMA</v>
      </c>
      <c r="J19" s="31">
        <f>+TH!M23</f>
        <v>0.60416666666666663</v>
      </c>
      <c r="K19" s="31">
        <f>+TH!N23</f>
        <v>0.79166666666666663</v>
      </c>
    </row>
    <row r="20" spans="1:11" x14ac:dyDescent="0.3">
      <c r="A20" s="32">
        <v>40</v>
      </c>
      <c r="B20" s="32">
        <f>+TH!E24</f>
        <v>8324343</v>
      </c>
      <c r="C20" s="32" t="str">
        <f>+TH!F24</f>
        <v>016</v>
      </c>
      <c r="D20" s="32">
        <f>+TH!G24</f>
        <v>2026</v>
      </c>
      <c r="E20" s="32">
        <f>+TH!H24</f>
        <v>9</v>
      </c>
      <c r="F20" s="32" t="str">
        <f>+TH!I24</f>
        <v>2.30</v>
      </c>
      <c r="G20" s="32" t="str">
        <f>+TH!J24</f>
        <v>D</v>
      </c>
      <c r="H20" s="30">
        <f>+TH!K24</f>
        <v>46154</v>
      </c>
      <c r="I20" s="32" t="str">
        <f>+TH!L24</f>
        <v>NORMA</v>
      </c>
      <c r="J20" s="31">
        <f>+TH!M24</f>
        <v>0.79236111111111107</v>
      </c>
      <c r="K20" s="31">
        <f>+TH!N24</f>
        <v>0.89583333333333337</v>
      </c>
    </row>
    <row r="21" spans="1:11" x14ac:dyDescent="0.3">
      <c r="A21" s="32">
        <v>40</v>
      </c>
      <c r="B21" s="32">
        <f>+TH!E25</f>
        <v>1045518651</v>
      </c>
      <c r="C21" s="32" t="str">
        <f>+TH!F25</f>
        <v>010</v>
      </c>
      <c r="D21" s="32">
        <f>+TH!G25</f>
        <v>2026</v>
      </c>
      <c r="E21" s="32">
        <f>+TH!H25</f>
        <v>9</v>
      </c>
      <c r="F21" s="32" t="str">
        <f>+TH!I25</f>
        <v>1.0</v>
      </c>
      <c r="G21" s="32" t="str">
        <f>+TH!J25</f>
        <v>D</v>
      </c>
      <c r="H21" s="30">
        <f>+TH!K25</f>
        <v>46154</v>
      </c>
      <c r="I21" s="32" t="str">
        <f>+TH!L25</f>
        <v>NORMA</v>
      </c>
      <c r="J21" s="31">
        <f>+TH!M25</f>
        <v>0.20833333333333334</v>
      </c>
      <c r="K21" s="31">
        <f>+TH!N25</f>
        <v>0.25</v>
      </c>
    </row>
    <row r="22" spans="1:11" x14ac:dyDescent="0.3">
      <c r="A22" s="32">
        <v>40</v>
      </c>
      <c r="B22" s="32">
        <f>+TH!E26</f>
        <v>1045509448</v>
      </c>
      <c r="C22" s="32" t="str">
        <f>+TH!F26</f>
        <v>010</v>
      </c>
      <c r="D22" s="32">
        <f>+TH!G26</f>
        <v>2026</v>
      </c>
      <c r="E22" s="32">
        <f>+TH!H26</f>
        <v>9</v>
      </c>
      <c r="F22" s="32" t="str">
        <f>+TH!I26</f>
        <v>0.30</v>
      </c>
      <c r="G22" s="32" t="str">
        <f>+TH!J26</f>
        <v>D</v>
      </c>
      <c r="H22" s="30">
        <f>+TH!K26</f>
        <v>46154</v>
      </c>
      <c r="I22" s="32" t="str">
        <f>+TH!L26</f>
        <v>NORMA</v>
      </c>
      <c r="J22" s="31">
        <f>+TH!M26</f>
        <v>0.22916666666666666</v>
      </c>
      <c r="K22" s="31">
        <f>+TH!N26</f>
        <v>0.25</v>
      </c>
    </row>
    <row r="23" spans="1:11" x14ac:dyDescent="0.3">
      <c r="A23" s="32">
        <v>40</v>
      </c>
      <c r="B23" s="32">
        <f>+TH!E27</f>
        <v>1045518801</v>
      </c>
      <c r="C23" s="32" t="str">
        <f>+TH!F27</f>
        <v>010</v>
      </c>
      <c r="D23" s="32">
        <f>+TH!G27</f>
        <v>2026</v>
      </c>
      <c r="E23" s="32">
        <f>+TH!H27</f>
        <v>9</v>
      </c>
      <c r="F23" s="32" t="str">
        <f>+TH!I27</f>
        <v>1.0</v>
      </c>
      <c r="G23" s="32" t="str">
        <f>+TH!J27</f>
        <v>D</v>
      </c>
      <c r="H23" s="30">
        <f>+TH!K27</f>
        <v>46154</v>
      </c>
      <c r="I23" s="32" t="str">
        <f>+TH!L27</f>
        <v>NORMA</v>
      </c>
      <c r="J23" s="31">
        <f>+TH!M27</f>
        <v>0.20833333333333334</v>
      </c>
      <c r="K23" s="31">
        <f>+TH!N27</f>
        <v>0.25</v>
      </c>
    </row>
    <row r="24" spans="1:11" x14ac:dyDescent="0.3">
      <c r="A24" s="32">
        <v>40</v>
      </c>
      <c r="B24" s="32">
        <f>+TH!E28</f>
        <v>1045511586</v>
      </c>
      <c r="C24" s="32" t="str">
        <f>+TH!F28</f>
        <v>010</v>
      </c>
      <c r="D24" s="32">
        <f>+TH!G28</f>
        <v>2026</v>
      </c>
      <c r="E24" s="32">
        <f>+TH!H28</f>
        <v>9</v>
      </c>
      <c r="F24" s="32" t="str">
        <f>+TH!I28</f>
        <v>0.40</v>
      </c>
      <c r="G24" s="32" t="str">
        <f>+TH!J28</f>
        <v>D</v>
      </c>
      <c r="H24" s="30">
        <f>+TH!K28</f>
        <v>46154</v>
      </c>
      <c r="I24" s="32" t="str">
        <f>+TH!L28</f>
        <v>NORMA</v>
      </c>
      <c r="J24" s="31">
        <f>+TH!M28</f>
        <v>0.22222222222222221</v>
      </c>
      <c r="K24" s="31">
        <f>+TH!N28</f>
        <v>0.25</v>
      </c>
    </row>
    <row r="25" spans="1:11" x14ac:dyDescent="0.3">
      <c r="A25" s="32">
        <v>40</v>
      </c>
      <c r="B25" s="32">
        <f>+TH!E29</f>
        <v>1045511586</v>
      </c>
      <c r="C25" s="32" t="str">
        <f>+TH!F29</f>
        <v>015</v>
      </c>
      <c r="D25" s="32">
        <f>+TH!G29</f>
        <v>2026</v>
      </c>
      <c r="E25" s="32">
        <f>+TH!H29</f>
        <v>9</v>
      </c>
      <c r="F25" s="32" t="str">
        <f>+TH!I29</f>
        <v>1.30</v>
      </c>
      <c r="G25" s="32" t="str">
        <f>+TH!J29</f>
        <v>D</v>
      </c>
      <c r="H25" s="30">
        <f>+TH!K29</f>
        <v>46154</v>
      </c>
      <c r="I25" s="32" t="str">
        <f>+TH!L29</f>
        <v>NORMA</v>
      </c>
      <c r="J25" s="31">
        <f>+TH!M29</f>
        <v>0.58333333333333337</v>
      </c>
      <c r="K25" s="31">
        <f>+TH!N29</f>
        <v>0.64583333333333337</v>
      </c>
    </row>
    <row r="26" spans="1:11" x14ac:dyDescent="0.3">
      <c r="A26" s="32">
        <v>40</v>
      </c>
      <c r="B26" s="32">
        <f>+TH!E30</f>
        <v>1146434628</v>
      </c>
      <c r="C26" s="32" t="str">
        <f>+TH!F30</f>
        <v>010</v>
      </c>
      <c r="D26" s="32">
        <f>+TH!G30</f>
        <v>2026</v>
      </c>
      <c r="E26" s="32">
        <f>+TH!H30</f>
        <v>9</v>
      </c>
      <c r="F26" s="32" t="str">
        <f>+TH!I30</f>
        <v>1.0</v>
      </c>
      <c r="G26" s="32" t="str">
        <f>+TH!J30</f>
        <v>D</v>
      </c>
      <c r="H26" s="30">
        <f>+TH!K30</f>
        <v>46154</v>
      </c>
      <c r="I26" s="32" t="str">
        <f>+TH!L30</f>
        <v>NORMA</v>
      </c>
      <c r="J26" s="31">
        <f>+TH!M30</f>
        <v>0.20833333333333334</v>
      </c>
      <c r="K26" s="31">
        <f>+TH!N30</f>
        <v>0.25</v>
      </c>
    </row>
    <row r="27" spans="1:11" x14ac:dyDescent="0.3">
      <c r="A27" s="32">
        <v>40</v>
      </c>
      <c r="B27" s="32">
        <f>+TH!E31</f>
        <v>1146434628</v>
      </c>
      <c r="C27" s="32" t="str">
        <f>+TH!F31</f>
        <v>015</v>
      </c>
      <c r="D27" s="32">
        <f>+TH!G31</f>
        <v>2026</v>
      </c>
      <c r="E27" s="32">
        <f>+TH!H31</f>
        <v>9</v>
      </c>
      <c r="F27" s="32" t="str">
        <f>+TH!I31</f>
        <v>5.30</v>
      </c>
      <c r="G27" s="32" t="str">
        <f>+TH!J31</f>
        <v>D</v>
      </c>
      <c r="H27" s="30">
        <f>+TH!K31</f>
        <v>46154</v>
      </c>
      <c r="I27" s="32" t="str">
        <f>+TH!L31</f>
        <v>NORMA</v>
      </c>
      <c r="J27" s="31">
        <f>+TH!M31</f>
        <v>0.5625</v>
      </c>
      <c r="K27" s="31">
        <f>+TH!N31</f>
        <v>0.79166666666666663</v>
      </c>
    </row>
    <row r="28" spans="1:11" x14ac:dyDescent="0.3">
      <c r="A28" s="32">
        <v>40</v>
      </c>
      <c r="B28" s="32">
        <f>+TH!E32</f>
        <v>1146434628</v>
      </c>
      <c r="C28" s="32" t="str">
        <f>+TH!F32</f>
        <v>016</v>
      </c>
      <c r="D28" s="32">
        <f>+TH!G32</f>
        <v>2026</v>
      </c>
      <c r="E28" s="32">
        <f>+TH!H32</f>
        <v>9</v>
      </c>
      <c r="F28" s="32" t="str">
        <f>+TH!I32</f>
        <v>0.30</v>
      </c>
      <c r="G28" s="32" t="str">
        <f>+TH!J32</f>
        <v>D</v>
      </c>
      <c r="H28" s="30">
        <f>+TH!K32</f>
        <v>46154</v>
      </c>
      <c r="I28" s="32" t="str">
        <f>+TH!L32</f>
        <v>NORMA</v>
      </c>
      <c r="J28" s="31">
        <f>+TH!M32</f>
        <v>0.79236111111111107</v>
      </c>
      <c r="K28" s="31">
        <f>+TH!N32</f>
        <v>0.8125</v>
      </c>
    </row>
    <row r="29" spans="1:11" x14ac:dyDescent="0.3">
      <c r="A29" s="32">
        <v>40</v>
      </c>
      <c r="B29" s="32">
        <f>+TH!E33</f>
        <v>39301485</v>
      </c>
      <c r="C29" s="32" t="str">
        <f>+TH!F33</f>
        <v>010</v>
      </c>
      <c r="D29" s="32">
        <f>+TH!G33</f>
        <v>2026</v>
      </c>
      <c r="E29" s="32">
        <f>+TH!H33</f>
        <v>9</v>
      </c>
      <c r="F29" s="32" t="str">
        <f>+TH!I33</f>
        <v>1.0</v>
      </c>
      <c r="G29" s="32" t="str">
        <f>+TH!J33</f>
        <v>D</v>
      </c>
      <c r="H29" s="30">
        <f>+TH!K33</f>
        <v>46154</v>
      </c>
      <c r="I29" s="32" t="str">
        <f>+TH!L33</f>
        <v>NORMA</v>
      </c>
      <c r="J29" s="31">
        <f>+TH!M33</f>
        <v>0.20833333333333334</v>
      </c>
      <c r="K29" s="31">
        <f>+TH!N33</f>
        <v>0.25</v>
      </c>
    </row>
    <row r="30" spans="1:11" x14ac:dyDescent="0.3">
      <c r="A30" s="32">
        <v>40</v>
      </c>
      <c r="B30" s="32">
        <f>+TH!E34</f>
        <v>1045513449</v>
      </c>
      <c r="C30" s="32" t="str">
        <f>+TH!F34</f>
        <v>010</v>
      </c>
      <c r="D30" s="32">
        <f>+TH!G34</f>
        <v>2026</v>
      </c>
      <c r="E30" s="32">
        <f>+TH!H34</f>
        <v>9</v>
      </c>
      <c r="F30" s="32" t="str">
        <f>+TH!I34</f>
        <v>1.0</v>
      </c>
      <c r="G30" s="32" t="str">
        <f>+TH!J34</f>
        <v>D</v>
      </c>
      <c r="H30" s="30">
        <f>+TH!K34</f>
        <v>46154</v>
      </c>
      <c r="I30" s="32" t="str">
        <f>+TH!L34</f>
        <v>NORMA</v>
      </c>
      <c r="J30" s="31">
        <f>+TH!M34</f>
        <v>0.20833333333333334</v>
      </c>
      <c r="K30" s="31">
        <f>+TH!N34</f>
        <v>0.25</v>
      </c>
    </row>
    <row r="31" spans="1:11" x14ac:dyDescent="0.3">
      <c r="A31" s="32">
        <v>40</v>
      </c>
      <c r="B31" s="32">
        <f>+TH!E35</f>
        <v>1045510473</v>
      </c>
      <c r="C31" s="32" t="str">
        <f>+TH!F35</f>
        <v>010</v>
      </c>
      <c r="D31" s="32">
        <f>+TH!G35</f>
        <v>2026</v>
      </c>
      <c r="E31" s="32">
        <f>+TH!H35</f>
        <v>9</v>
      </c>
      <c r="F31" s="32" t="str">
        <f>+TH!I35</f>
        <v>1.0</v>
      </c>
      <c r="G31" s="32" t="str">
        <f>+TH!J35</f>
        <v>D</v>
      </c>
      <c r="H31" s="30">
        <f>+TH!K35</f>
        <v>46154</v>
      </c>
      <c r="I31" s="32" t="str">
        <f>+TH!L35</f>
        <v>NORMA</v>
      </c>
      <c r="J31" s="31">
        <f>+TH!M35</f>
        <v>0.20833333333333334</v>
      </c>
      <c r="K31" s="31">
        <f>+TH!N35</f>
        <v>0.25</v>
      </c>
    </row>
    <row r="32" spans="1:11" x14ac:dyDescent="0.3">
      <c r="A32" s="32">
        <v>40</v>
      </c>
      <c r="B32" s="32">
        <f>+TH!E36</f>
        <v>39310769</v>
      </c>
      <c r="C32" s="32" t="str">
        <f>+TH!F36</f>
        <v>010</v>
      </c>
      <c r="D32" s="32">
        <f>+TH!G36</f>
        <v>2026</v>
      </c>
      <c r="E32" s="32">
        <f>+TH!H36</f>
        <v>9</v>
      </c>
      <c r="F32" s="32" t="str">
        <f>+TH!I36</f>
        <v>1.0</v>
      </c>
      <c r="G32" s="32" t="str">
        <f>+TH!J36</f>
        <v>D</v>
      </c>
      <c r="H32" s="30">
        <f>+TH!K36</f>
        <v>46154</v>
      </c>
      <c r="I32" s="32" t="str">
        <f>+TH!L36</f>
        <v>NORMA</v>
      </c>
      <c r="J32" s="31">
        <f>+TH!M36</f>
        <v>0.20833333333333334</v>
      </c>
      <c r="K32" s="31">
        <f>+TH!N36</f>
        <v>0.25</v>
      </c>
    </row>
    <row r="33" spans="1:11" x14ac:dyDescent="0.3">
      <c r="A33" s="32">
        <v>40</v>
      </c>
      <c r="B33" s="32">
        <f>+TH!E37</f>
        <v>1045504077</v>
      </c>
      <c r="C33" s="32" t="str">
        <f>+TH!F37</f>
        <v>010</v>
      </c>
      <c r="D33" s="32">
        <f>+TH!G37</f>
        <v>2026</v>
      </c>
      <c r="E33" s="32">
        <f>+TH!H37</f>
        <v>9</v>
      </c>
      <c r="F33" s="32" t="str">
        <f>+TH!I37</f>
        <v>1.0</v>
      </c>
      <c r="G33" s="32" t="str">
        <f>+TH!J37</f>
        <v>D</v>
      </c>
      <c r="H33" s="30">
        <f>+TH!K37</f>
        <v>46154</v>
      </c>
      <c r="I33" s="32" t="str">
        <f>+TH!L37</f>
        <v>NORMA</v>
      </c>
      <c r="J33" s="31">
        <f>+TH!M37</f>
        <v>0.20833333333333334</v>
      </c>
      <c r="K33" s="31">
        <f>+TH!N37</f>
        <v>0.25</v>
      </c>
    </row>
    <row r="34" spans="1:11" x14ac:dyDescent="0.3">
      <c r="A34" s="32">
        <v>40</v>
      </c>
      <c r="B34" s="32">
        <f>+TH!E38</f>
        <v>1045507565</v>
      </c>
      <c r="C34" s="32" t="str">
        <f>+TH!F38</f>
        <v>010</v>
      </c>
      <c r="D34" s="32">
        <f>+TH!G38</f>
        <v>2026</v>
      </c>
      <c r="E34" s="32">
        <f>+TH!H38</f>
        <v>9</v>
      </c>
      <c r="F34" s="32" t="str">
        <f>+TH!I38</f>
        <v>1.0</v>
      </c>
      <c r="G34" s="32" t="str">
        <f>+TH!J38</f>
        <v>D</v>
      </c>
      <c r="H34" s="30">
        <f>+TH!K38</f>
        <v>46154</v>
      </c>
      <c r="I34" s="32" t="str">
        <f>+TH!L38</f>
        <v>NORMA</v>
      </c>
      <c r="J34" s="31">
        <f>+TH!M38</f>
        <v>0.20833333333333334</v>
      </c>
      <c r="K34" s="31">
        <f>+TH!N38</f>
        <v>0.25</v>
      </c>
    </row>
    <row r="35" spans="1:11" x14ac:dyDescent="0.3">
      <c r="A35" s="32">
        <v>40</v>
      </c>
      <c r="B35" s="32">
        <f>+TH!E39</f>
        <v>1007815738</v>
      </c>
      <c r="C35" s="32" t="str">
        <f>+TH!F39</f>
        <v>010</v>
      </c>
      <c r="D35" s="32">
        <f>+TH!G39</f>
        <v>2026</v>
      </c>
      <c r="E35" s="32">
        <f>+TH!H39</f>
        <v>9</v>
      </c>
      <c r="F35" s="32" t="str">
        <f>+TH!I39</f>
        <v>1.0</v>
      </c>
      <c r="G35" s="32" t="str">
        <f>+TH!J39</f>
        <v>D</v>
      </c>
      <c r="H35" s="30">
        <f>+TH!K39</f>
        <v>46154</v>
      </c>
      <c r="I35" s="32" t="str">
        <f>+TH!L39</f>
        <v>NORMA</v>
      </c>
      <c r="J35" s="31">
        <f>+TH!M39</f>
        <v>0.20833333333333334</v>
      </c>
      <c r="K35" s="31">
        <f>+TH!N39</f>
        <v>0.25</v>
      </c>
    </row>
    <row r="36" spans="1:11" x14ac:dyDescent="0.3">
      <c r="A36" s="32">
        <v>40</v>
      </c>
      <c r="B36" s="32">
        <f>+TH!E40</f>
        <v>11560244</v>
      </c>
      <c r="C36" s="32" t="str">
        <f>+TH!F40</f>
        <v>010</v>
      </c>
      <c r="D36" s="32">
        <f>+TH!G40</f>
        <v>2026</v>
      </c>
      <c r="E36" s="32">
        <f>+TH!H40</f>
        <v>9</v>
      </c>
      <c r="F36" s="32" t="str">
        <f>+TH!I40</f>
        <v>1.0</v>
      </c>
      <c r="G36" s="32" t="str">
        <f>+TH!J40</f>
        <v>D</v>
      </c>
      <c r="H36" s="30">
        <f>+TH!K40</f>
        <v>46154</v>
      </c>
      <c r="I36" s="32" t="str">
        <f>+TH!L40</f>
        <v>NORMA</v>
      </c>
      <c r="J36" s="31">
        <f>+TH!M40</f>
        <v>0.20833333333333334</v>
      </c>
      <c r="K36" s="31">
        <f>+TH!N40</f>
        <v>0.25</v>
      </c>
    </row>
    <row r="37" spans="1:11" x14ac:dyDescent="0.3">
      <c r="A37" s="32">
        <v>40</v>
      </c>
      <c r="B37" s="32">
        <f>+TH!E41</f>
        <v>1045519399</v>
      </c>
      <c r="C37" s="32" t="str">
        <f>+TH!F41</f>
        <v>010</v>
      </c>
      <c r="D37" s="32">
        <f>+TH!G41</f>
        <v>2026</v>
      </c>
      <c r="E37" s="32">
        <f>+TH!H41</f>
        <v>9</v>
      </c>
      <c r="F37" s="32" t="str">
        <f>+TH!I41</f>
        <v>1.0</v>
      </c>
      <c r="G37" s="32" t="str">
        <f>+TH!J41</f>
        <v>D</v>
      </c>
      <c r="H37" s="30">
        <f>+TH!K41</f>
        <v>46154</v>
      </c>
      <c r="I37" s="32" t="str">
        <f>+TH!L41</f>
        <v>NORMA</v>
      </c>
      <c r="J37" s="31">
        <f>+TH!M41</f>
        <v>0.20833333333333334</v>
      </c>
      <c r="K37" s="31">
        <f>+TH!N41</f>
        <v>0.25</v>
      </c>
    </row>
    <row r="38" spans="1:11" x14ac:dyDescent="0.3">
      <c r="A38" s="32">
        <v>40</v>
      </c>
      <c r="B38" s="32">
        <f>+TH!E42</f>
        <v>71982173</v>
      </c>
      <c r="C38" s="32" t="str">
        <f>+TH!F42</f>
        <v>010</v>
      </c>
      <c r="D38" s="32">
        <f>+TH!G42</f>
        <v>2026</v>
      </c>
      <c r="E38" s="32">
        <f>+TH!H42</f>
        <v>9</v>
      </c>
      <c r="F38" s="32" t="str">
        <f>+TH!I42</f>
        <v>1.0</v>
      </c>
      <c r="G38" s="32" t="str">
        <f>+TH!J42</f>
        <v>D</v>
      </c>
      <c r="H38" s="30">
        <f>+TH!K42</f>
        <v>46154</v>
      </c>
      <c r="I38" s="32" t="str">
        <f>+TH!L42</f>
        <v>NORMA</v>
      </c>
      <c r="J38" s="31">
        <f>+TH!M42</f>
        <v>0.79166666666666663</v>
      </c>
      <c r="K38" s="31">
        <f>+TH!N42</f>
        <v>0.83333333333333337</v>
      </c>
    </row>
    <row r="39" spans="1:11" x14ac:dyDescent="0.3">
      <c r="A39" s="32">
        <v>40</v>
      </c>
      <c r="B39" s="32">
        <f>+TH!E43</f>
        <v>10902301</v>
      </c>
      <c r="C39" s="32" t="str">
        <f>+TH!F43</f>
        <v>010</v>
      </c>
      <c r="D39" s="32">
        <f>+TH!G43</f>
        <v>2026</v>
      </c>
      <c r="E39" s="32">
        <f>+TH!H43</f>
        <v>9</v>
      </c>
      <c r="F39" s="32" t="str">
        <f>+TH!I43</f>
        <v>2.30</v>
      </c>
      <c r="G39" s="32" t="str">
        <f>+TH!J43</f>
        <v>D</v>
      </c>
      <c r="H39" s="30">
        <f>+TH!K43</f>
        <v>46154</v>
      </c>
      <c r="I39" s="32" t="str">
        <f>+TH!L43</f>
        <v>NORMA</v>
      </c>
      <c r="J39" s="31">
        <f>+TH!M43</f>
        <v>0.89583333333333337</v>
      </c>
      <c r="K39" s="31">
        <f>+TH!N43</f>
        <v>0.99930555555555556</v>
      </c>
    </row>
    <row r="40" spans="1:11" x14ac:dyDescent="0.3">
      <c r="A40" s="32">
        <v>40</v>
      </c>
      <c r="B40" s="32">
        <f>+TH!E44</f>
        <v>10902301</v>
      </c>
      <c r="C40" s="32" t="str">
        <f>+TH!F44</f>
        <v>010</v>
      </c>
      <c r="D40" s="32">
        <f>+TH!G44</f>
        <v>2026</v>
      </c>
      <c r="E40" s="32">
        <f>+TH!H44</f>
        <v>9</v>
      </c>
      <c r="F40" s="32" t="str">
        <f>+TH!I44</f>
        <v>5.30</v>
      </c>
      <c r="G40" s="32" t="str">
        <f>+TH!J44</f>
        <v>D</v>
      </c>
      <c r="H40" s="30">
        <f>+TH!K44</f>
        <v>46155</v>
      </c>
      <c r="I40" s="32" t="str">
        <f>+TH!L44</f>
        <v>NORMA</v>
      </c>
      <c r="J40" s="31">
        <f>+TH!M44</f>
        <v>0</v>
      </c>
      <c r="K40" s="31">
        <f>+TH!N44</f>
        <v>0.22916666666666666</v>
      </c>
    </row>
    <row r="41" spans="1:11" x14ac:dyDescent="0.3">
      <c r="A41" s="32">
        <v>40</v>
      </c>
      <c r="B41" s="32">
        <f>+TH!E45</f>
        <v>1068821818</v>
      </c>
      <c r="C41" s="32" t="str">
        <f>+TH!F45</f>
        <v>015</v>
      </c>
      <c r="D41" s="32">
        <f>+TH!G45</f>
        <v>2026</v>
      </c>
      <c r="E41" s="32">
        <f>+TH!H45</f>
        <v>9</v>
      </c>
      <c r="F41" s="32" t="str">
        <f>+TH!I45</f>
        <v>2.0</v>
      </c>
      <c r="G41" s="32" t="str">
        <f>+TH!J45</f>
        <v>D</v>
      </c>
      <c r="H41" s="30">
        <f>+TH!K45</f>
        <v>46154</v>
      </c>
      <c r="I41" s="32" t="str">
        <f>+TH!L45</f>
        <v>NORMA</v>
      </c>
      <c r="J41" s="31">
        <f>+TH!M45</f>
        <v>0.77083333333333337</v>
      </c>
      <c r="K41" s="31">
        <f>+TH!N45</f>
        <v>0.85416666666666663</v>
      </c>
    </row>
    <row r="42" spans="1:11" x14ac:dyDescent="0.3">
      <c r="A42" s="32">
        <v>40</v>
      </c>
      <c r="B42" s="32">
        <f>+TH!E46</f>
        <v>71976132</v>
      </c>
      <c r="C42" s="32" t="str">
        <f>+TH!F46</f>
        <v>010</v>
      </c>
      <c r="D42" s="32">
        <f>+TH!G46</f>
        <v>2026</v>
      </c>
      <c r="E42" s="32">
        <f>+TH!H46</f>
        <v>9</v>
      </c>
      <c r="F42" s="32" t="str">
        <f>+TH!I46</f>
        <v>2.30</v>
      </c>
      <c r="G42" s="32" t="str">
        <f>+TH!J46</f>
        <v>D</v>
      </c>
      <c r="H42" s="30">
        <f>+TH!K46</f>
        <v>46154</v>
      </c>
      <c r="I42" s="32" t="str">
        <f>+TH!L46</f>
        <v>NORMA</v>
      </c>
      <c r="J42" s="31">
        <f>+TH!M46</f>
        <v>0.79166666666666663</v>
      </c>
      <c r="K42" s="31">
        <f>+TH!N46</f>
        <v>0.89583333333333337</v>
      </c>
    </row>
    <row r="43" spans="1:11" x14ac:dyDescent="0.3">
      <c r="A43" s="32">
        <v>40</v>
      </c>
      <c r="B43" s="32">
        <f>+TH!E47</f>
        <v>78699356</v>
      </c>
      <c r="C43" s="32" t="str">
        <f>+TH!F47</f>
        <v>010</v>
      </c>
      <c r="D43" s="32">
        <f>+TH!G47</f>
        <v>2026</v>
      </c>
      <c r="E43" s="32">
        <f>+TH!H47</f>
        <v>9</v>
      </c>
      <c r="F43" s="32" t="str">
        <f>+TH!I47</f>
        <v>2.30</v>
      </c>
      <c r="G43" s="32" t="str">
        <f>+TH!J47</f>
        <v>D</v>
      </c>
      <c r="H43" s="30">
        <f>+TH!K47</f>
        <v>46154</v>
      </c>
      <c r="I43" s="32" t="str">
        <f>+TH!L47</f>
        <v>NORMA</v>
      </c>
      <c r="J43" s="31">
        <f>+TH!M47</f>
        <v>0.79166666666666663</v>
      </c>
      <c r="K43" s="31">
        <f>+TH!N47</f>
        <v>0.89583333333333337</v>
      </c>
    </row>
    <row r="44" spans="1:11" x14ac:dyDescent="0.3">
      <c r="A44" s="32">
        <v>40</v>
      </c>
      <c r="B44" s="32">
        <f>+TH!E48</f>
        <v>1045490293</v>
      </c>
      <c r="C44" s="32" t="str">
        <f>+TH!F48</f>
        <v>015</v>
      </c>
      <c r="D44" s="32">
        <f>+TH!G48</f>
        <v>2026</v>
      </c>
      <c r="E44" s="32">
        <f>+TH!H48</f>
        <v>9</v>
      </c>
      <c r="F44" s="32" t="str">
        <f>+TH!I48</f>
        <v>2.0</v>
      </c>
      <c r="G44" s="32" t="str">
        <f>+TH!J48</f>
        <v>D</v>
      </c>
      <c r="H44" s="30">
        <f>+TH!K48</f>
        <v>46154</v>
      </c>
      <c r="I44" s="32" t="str">
        <f>+TH!L48</f>
        <v>NORMA</v>
      </c>
      <c r="J44" s="31">
        <f>+TH!M48</f>
        <v>0.64583333333333337</v>
      </c>
      <c r="K44" s="31">
        <f>+TH!N48</f>
        <v>0.72916666666666663</v>
      </c>
    </row>
    <row r="45" spans="1:11" x14ac:dyDescent="0.3">
      <c r="A45" s="32">
        <v>40</v>
      </c>
      <c r="B45" s="32">
        <f>+TH!E49</f>
        <v>1192781889</v>
      </c>
      <c r="C45" s="32" t="str">
        <f>+TH!F49</f>
        <v>010</v>
      </c>
      <c r="D45" s="32">
        <f>+TH!G49</f>
        <v>2026</v>
      </c>
      <c r="E45" s="32">
        <f>+TH!H49</f>
        <v>9</v>
      </c>
      <c r="F45" s="32" t="str">
        <f>+TH!I49</f>
        <v>1.0</v>
      </c>
      <c r="G45" s="32" t="str">
        <f>+TH!J49</f>
        <v>D</v>
      </c>
      <c r="H45" s="30">
        <f>+TH!K49</f>
        <v>46154</v>
      </c>
      <c r="I45" s="32" t="str">
        <f>+TH!L49</f>
        <v>NORMA</v>
      </c>
      <c r="J45" s="31">
        <f>+TH!M49</f>
        <v>0.20833333333333334</v>
      </c>
      <c r="K45" s="31">
        <f>+TH!N49</f>
        <v>0.25</v>
      </c>
    </row>
    <row r="46" spans="1:11" x14ac:dyDescent="0.3">
      <c r="A46" s="32">
        <v>40</v>
      </c>
      <c r="B46" s="32">
        <f>+TH!E50</f>
        <v>1028004993</v>
      </c>
      <c r="C46" s="32" t="str">
        <f>+TH!F50</f>
        <v>010</v>
      </c>
      <c r="D46" s="32">
        <f>+TH!G50</f>
        <v>2026</v>
      </c>
      <c r="E46" s="32">
        <f>+TH!H50</f>
        <v>9</v>
      </c>
      <c r="F46" s="32" t="str">
        <f>+TH!I50</f>
        <v>1.0</v>
      </c>
      <c r="G46" s="32" t="str">
        <f>+TH!J50</f>
        <v>D</v>
      </c>
      <c r="H46" s="30">
        <f>+TH!K50</f>
        <v>46154</v>
      </c>
      <c r="I46" s="32" t="str">
        <f>+TH!L50</f>
        <v>NORMA</v>
      </c>
      <c r="J46" s="31">
        <f>+TH!M50</f>
        <v>0.20833333333333334</v>
      </c>
      <c r="K46" s="31">
        <f>+TH!N50</f>
        <v>0.25</v>
      </c>
    </row>
    <row r="47" spans="1:11" x14ac:dyDescent="0.3">
      <c r="A47" s="32">
        <v>40</v>
      </c>
      <c r="B47" s="32">
        <f>+TH!E51</f>
        <v>11001896</v>
      </c>
      <c r="C47" s="32" t="str">
        <f>+TH!F51</f>
        <v>010</v>
      </c>
      <c r="D47" s="32">
        <f>+TH!G51</f>
        <v>2026</v>
      </c>
      <c r="E47" s="32">
        <f>+TH!H51</f>
        <v>9</v>
      </c>
      <c r="F47" s="32" t="str">
        <f>+TH!I51</f>
        <v>1.0</v>
      </c>
      <c r="G47" s="32" t="str">
        <f>+TH!J51</f>
        <v>D</v>
      </c>
      <c r="H47" s="30">
        <f>+TH!K51</f>
        <v>46154</v>
      </c>
      <c r="I47" s="32" t="str">
        <f>+TH!L51</f>
        <v>NORMA</v>
      </c>
      <c r="J47" s="31">
        <f>+TH!M51</f>
        <v>0.20833333333333334</v>
      </c>
      <c r="K47" s="31">
        <f>+TH!N51</f>
        <v>0.25</v>
      </c>
    </row>
    <row r="48" spans="1:11" x14ac:dyDescent="0.3">
      <c r="A48" s="32">
        <v>40</v>
      </c>
      <c r="B48" s="32">
        <f>+TH!E52</f>
        <v>1083461081</v>
      </c>
      <c r="C48" s="32" t="str">
        <f>+TH!F52</f>
        <v>010</v>
      </c>
      <c r="D48" s="32">
        <f>+TH!G52</f>
        <v>2026</v>
      </c>
      <c r="E48" s="32">
        <f>+TH!H52</f>
        <v>9</v>
      </c>
      <c r="F48" s="32" t="str">
        <f>+TH!I52</f>
        <v>1.0</v>
      </c>
      <c r="G48" s="32" t="str">
        <f>+TH!J52</f>
        <v>D</v>
      </c>
      <c r="H48" s="30">
        <f>+TH!K52</f>
        <v>46154</v>
      </c>
      <c r="I48" s="32" t="str">
        <f>+TH!L52</f>
        <v>NORMA</v>
      </c>
      <c r="J48" s="31">
        <f>+TH!M52</f>
        <v>0.20833333333333334</v>
      </c>
      <c r="K48" s="31">
        <f>+TH!N52</f>
        <v>0.25</v>
      </c>
    </row>
    <row r="49" spans="1:11" x14ac:dyDescent="0.3">
      <c r="A49" s="32">
        <v>40</v>
      </c>
      <c r="B49" s="32">
        <f>+TH!E53</f>
        <v>1028021199</v>
      </c>
      <c r="C49" s="32" t="str">
        <f>+TH!F53</f>
        <v>010</v>
      </c>
      <c r="D49" s="32">
        <f>+TH!G53</f>
        <v>2026</v>
      </c>
      <c r="E49" s="32">
        <f>+TH!H53</f>
        <v>9</v>
      </c>
      <c r="F49" s="32" t="str">
        <f>+TH!I53</f>
        <v>1.0</v>
      </c>
      <c r="G49" s="32" t="str">
        <f>+TH!J53</f>
        <v>D</v>
      </c>
      <c r="H49" s="30">
        <f>+TH!K53</f>
        <v>46154</v>
      </c>
      <c r="I49" s="32" t="str">
        <f>+TH!L53</f>
        <v>NORMA</v>
      </c>
      <c r="J49" s="31">
        <f>+TH!M53</f>
        <v>0.20833333333333334</v>
      </c>
      <c r="K49" s="31">
        <f>+TH!N53</f>
        <v>0.25</v>
      </c>
    </row>
    <row r="50" spans="1:11" x14ac:dyDescent="0.3">
      <c r="A50" s="32">
        <v>40</v>
      </c>
      <c r="B50" s="32">
        <f>+TH!E54</f>
        <v>1072746555</v>
      </c>
      <c r="C50" s="32" t="str">
        <f>+TH!F54</f>
        <v>010</v>
      </c>
      <c r="D50" s="32">
        <f>+TH!G54</f>
        <v>2026</v>
      </c>
      <c r="E50" s="32">
        <f>+TH!H54</f>
        <v>9</v>
      </c>
      <c r="F50" s="32" t="str">
        <f>+TH!I54</f>
        <v>1.0</v>
      </c>
      <c r="G50" s="32" t="str">
        <f>+TH!J54</f>
        <v>D</v>
      </c>
      <c r="H50" s="30">
        <f>+TH!K54</f>
        <v>46154</v>
      </c>
      <c r="I50" s="32" t="str">
        <f>+TH!L54</f>
        <v>NORMA</v>
      </c>
      <c r="J50" s="31">
        <f>+TH!M54</f>
        <v>0.20833333333333334</v>
      </c>
      <c r="K50" s="31">
        <f>+TH!N54</f>
        <v>0.25</v>
      </c>
    </row>
    <row r="51" spans="1:11" x14ac:dyDescent="0.3">
      <c r="A51" s="32">
        <v>40</v>
      </c>
      <c r="B51" s="32">
        <f>+TH!E55</f>
        <v>1028002725</v>
      </c>
      <c r="C51" s="32" t="str">
        <f>+TH!F55</f>
        <v>010</v>
      </c>
      <c r="D51" s="32">
        <f>+TH!G55</f>
        <v>2026</v>
      </c>
      <c r="E51" s="32">
        <f>+TH!H55</f>
        <v>9</v>
      </c>
      <c r="F51" s="32" t="str">
        <f>+TH!I55</f>
        <v>1.0</v>
      </c>
      <c r="G51" s="32" t="str">
        <f>+TH!J55</f>
        <v>D</v>
      </c>
      <c r="H51" s="30">
        <f>+TH!K55</f>
        <v>46154</v>
      </c>
      <c r="I51" s="32" t="str">
        <f>+TH!L55</f>
        <v>NORMA</v>
      </c>
      <c r="J51" s="31">
        <f>+TH!M55</f>
        <v>0.20833333333333334</v>
      </c>
      <c r="K51" s="31">
        <f>+TH!N55</f>
        <v>0.25</v>
      </c>
    </row>
    <row r="52" spans="1:11" x14ac:dyDescent="0.3">
      <c r="A52" s="32">
        <v>40</v>
      </c>
      <c r="B52" s="32">
        <f>+TH!E56</f>
        <v>39422077</v>
      </c>
      <c r="C52" s="32" t="str">
        <f>+TH!F56</f>
        <v>010</v>
      </c>
      <c r="D52" s="32">
        <f>+TH!G56</f>
        <v>2026</v>
      </c>
      <c r="E52" s="32">
        <f>+TH!H56</f>
        <v>9</v>
      </c>
      <c r="F52" s="32" t="str">
        <f>+TH!I56</f>
        <v>1.0</v>
      </c>
      <c r="G52" s="32" t="str">
        <f>+TH!J56</f>
        <v>D</v>
      </c>
      <c r="H52" s="30">
        <f>+TH!K56</f>
        <v>46154</v>
      </c>
      <c r="I52" s="32" t="str">
        <f>+TH!L56</f>
        <v>NORMA</v>
      </c>
      <c r="J52" s="31">
        <f>+TH!M56</f>
        <v>0.20833333333333334</v>
      </c>
      <c r="K52" s="31">
        <f>+TH!N56</f>
        <v>0.25</v>
      </c>
    </row>
    <row r="53" spans="1:11" x14ac:dyDescent="0.3">
      <c r="A53" s="32">
        <v>40</v>
      </c>
      <c r="B53" s="32">
        <f>+TH!E57</f>
        <v>1090507660</v>
      </c>
      <c r="C53" s="32" t="str">
        <f>+TH!F57</f>
        <v>010</v>
      </c>
      <c r="D53" s="32">
        <f>+TH!G57</f>
        <v>2026</v>
      </c>
      <c r="E53" s="32">
        <f>+TH!H57</f>
        <v>9</v>
      </c>
      <c r="F53" s="32" t="str">
        <f>+TH!I57</f>
        <v>1.0</v>
      </c>
      <c r="G53" s="32" t="str">
        <f>+TH!J57</f>
        <v>D</v>
      </c>
      <c r="H53" s="30">
        <f>+TH!K57</f>
        <v>46154</v>
      </c>
      <c r="I53" s="32" t="str">
        <f>+TH!L57</f>
        <v>NORMA</v>
      </c>
      <c r="J53" s="31">
        <f>+TH!M57</f>
        <v>0.20833333333333334</v>
      </c>
      <c r="K53" s="31">
        <f>+TH!N57</f>
        <v>0.25</v>
      </c>
    </row>
    <row r="54" spans="1:11" x14ac:dyDescent="0.3">
      <c r="A54" s="32">
        <v>40</v>
      </c>
      <c r="B54" s="32">
        <f>+TH!E58</f>
        <v>1001747625</v>
      </c>
      <c r="C54" s="32" t="str">
        <f>+TH!F58</f>
        <v>010</v>
      </c>
      <c r="D54" s="32">
        <f>+TH!G58</f>
        <v>2026</v>
      </c>
      <c r="E54" s="32">
        <f>+TH!H58</f>
        <v>9</v>
      </c>
      <c r="F54" s="32" t="str">
        <f>+TH!I58</f>
        <v>1.0</v>
      </c>
      <c r="G54" s="32" t="str">
        <f>+TH!J58</f>
        <v>D</v>
      </c>
      <c r="H54" s="30">
        <f>+TH!K58</f>
        <v>46154</v>
      </c>
      <c r="I54" s="32" t="str">
        <f>+TH!L58</f>
        <v>NORMA</v>
      </c>
      <c r="J54" s="31">
        <f>+TH!M58</f>
        <v>0.20833333333333334</v>
      </c>
      <c r="K54" s="31">
        <f>+TH!N58</f>
        <v>0.25</v>
      </c>
    </row>
    <row r="55" spans="1:11" x14ac:dyDescent="0.3">
      <c r="A55" s="32">
        <v>40</v>
      </c>
      <c r="B55" s="32">
        <f>+TH!E59</f>
        <v>1027957442</v>
      </c>
      <c r="C55" s="32" t="str">
        <f>+TH!F59</f>
        <v>010</v>
      </c>
      <c r="D55" s="32">
        <f>+TH!G59</f>
        <v>2026</v>
      </c>
      <c r="E55" s="32">
        <f>+TH!H59</f>
        <v>9</v>
      </c>
      <c r="F55" s="32" t="str">
        <f>+TH!I59</f>
        <v>1.0</v>
      </c>
      <c r="G55" s="32" t="str">
        <f>+TH!J59</f>
        <v>D</v>
      </c>
      <c r="H55" s="30">
        <f>+TH!K59</f>
        <v>46154</v>
      </c>
      <c r="I55" s="32" t="str">
        <f>+TH!L59</f>
        <v>NORMA</v>
      </c>
      <c r="J55" s="31">
        <f>+TH!M59</f>
        <v>0.20833333333333334</v>
      </c>
      <c r="K55" s="31">
        <f>+TH!N59</f>
        <v>0.25</v>
      </c>
    </row>
    <row r="56" spans="1:11" x14ac:dyDescent="0.3">
      <c r="A56" s="32">
        <v>40</v>
      </c>
      <c r="B56" s="32">
        <f>+TH!E60</f>
        <v>39413476</v>
      </c>
      <c r="C56" s="32" t="str">
        <f>+TH!F60</f>
        <v>010</v>
      </c>
      <c r="D56" s="32">
        <f>+TH!G60</f>
        <v>2026</v>
      </c>
      <c r="E56" s="32">
        <f>+TH!H60</f>
        <v>9</v>
      </c>
      <c r="F56" s="32" t="str">
        <f>+TH!I60</f>
        <v>1.0</v>
      </c>
      <c r="G56" s="32" t="str">
        <f>+TH!J60</f>
        <v>D</v>
      </c>
      <c r="H56" s="30">
        <f>+TH!K60</f>
        <v>46154</v>
      </c>
      <c r="I56" s="32" t="str">
        <f>+TH!L60</f>
        <v>NORMA</v>
      </c>
      <c r="J56" s="31">
        <f>+TH!M60</f>
        <v>0.20833333333333334</v>
      </c>
      <c r="K56" s="31">
        <f>+TH!N60</f>
        <v>0.25</v>
      </c>
    </row>
    <row r="57" spans="1:11" x14ac:dyDescent="0.3">
      <c r="A57" s="32">
        <v>40</v>
      </c>
      <c r="B57" s="32">
        <f>+TH!E61</f>
        <v>1007843826</v>
      </c>
      <c r="C57" s="32" t="str">
        <f>+TH!F61</f>
        <v>010</v>
      </c>
      <c r="D57" s="32">
        <f>+TH!G61</f>
        <v>2026</v>
      </c>
      <c r="E57" s="32">
        <f>+TH!H61</f>
        <v>9</v>
      </c>
      <c r="F57" s="32" t="str">
        <f>+TH!I61</f>
        <v>1.0</v>
      </c>
      <c r="G57" s="32" t="str">
        <f>+TH!J61</f>
        <v>D</v>
      </c>
      <c r="H57" s="30">
        <f>+TH!K61</f>
        <v>46154</v>
      </c>
      <c r="I57" s="32" t="str">
        <f>+TH!L61</f>
        <v>NORMA</v>
      </c>
      <c r="J57" s="31">
        <f>+TH!M61</f>
        <v>0.20833333333333334</v>
      </c>
      <c r="K57" s="31">
        <f>+TH!N61</f>
        <v>0.25</v>
      </c>
    </row>
    <row r="58" spans="1:11" x14ac:dyDescent="0.3">
      <c r="A58" s="32">
        <v>40</v>
      </c>
      <c r="B58" s="32">
        <f>+TH!E62</f>
        <v>1128470943</v>
      </c>
      <c r="C58" s="32" t="str">
        <f>+TH!F62</f>
        <v>010</v>
      </c>
      <c r="D58" s="32">
        <f>+TH!G62</f>
        <v>2026</v>
      </c>
      <c r="E58" s="32">
        <f>+TH!H62</f>
        <v>9</v>
      </c>
      <c r="F58" s="32" t="str">
        <f>+TH!I62</f>
        <v>1.0</v>
      </c>
      <c r="G58" s="32" t="str">
        <f>+TH!J62</f>
        <v>D</v>
      </c>
      <c r="H58" s="30">
        <f>+TH!K62</f>
        <v>46154</v>
      </c>
      <c r="I58" s="32" t="str">
        <f>+TH!L62</f>
        <v>NORMA</v>
      </c>
      <c r="J58" s="31">
        <f>+TH!M62</f>
        <v>0.20833333333333334</v>
      </c>
      <c r="K58" s="31">
        <f>+TH!N62</f>
        <v>0.25</v>
      </c>
    </row>
    <row r="59" spans="1:11" x14ac:dyDescent="0.3">
      <c r="A59" s="32">
        <v>40</v>
      </c>
      <c r="B59" s="32">
        <f>+TH!E63</f>
        <v>1067847096</v>
      </c>
      <c r="C59" s="32" t="str">
        <f>+TH!F63</f>
        <v>015</v>
      </c>
      <c r="D59" s="32">
        <f>+TH!G63</f>
        <v>2026</v>
      </c>
      <c r="E59" s="32">
        <f>+TH!H63</f>
        <v>9</v>
      </c>
      <c r="F59" s="32" t="str">
        <f>+TH!I63</f>
        <v>2.0</v>
      </c>
      <c r="G59" s="32" t="str">
        <f>+TH!J63</f>
        <v>D</v>
      </c>
      <c r="H59" s="30">
        <f>+TH!K63</f>
        <v>46154</v>
      </c>
      <c r="I59" s="32" t="str">
        <f>+TH!L63</f>
        <v>NORMA</v>
      </c>
      <c r="J59" s="31">
        <f>+TH!M63</f>
        <v>0.66666666666666663</v>
      </c>
      <c r="K59" s="31">
        <f>+TH!N63</f>
        <v>0.75</v>
      </c>
    </row>
    <row r="60" spans="1:11" x14ac:dyDescent="0.3">
      <c r="A60" s="32">
        <v>40</v>
      </c>
      <c r="B60" s="32">
        <f>+TH!E64</f>
        <v>1028001639</v>
      </c>
      <c r="C60" s="32" t="str">
        <f>+TH!F64</f>
        <v>010</v>
      </c>
      <c r="D60" s="32">
        <f>+TH!G64</f>
        <v>2026</v>
      </c>
      <c r="E60" s="32">
        <f>+TH!H64</f>
        <v>9</v>
      </c>
      <c r="F60" s="32" t="str">
        <f>+TH!I64</f>
        <v>1.0</v>
      </c>
      <c r="G60" s="32" t="str">
        <f>+TH!J64</f>
        <v>D</v>
      </c>
      <c r="H60" s="30">
        <f>+TH!K64</f>
        <v>46154</v>
      </c>
      <c r="I60" s="32" t="str">
        <f>+TH!L64</f>
        <v>NORMA</v>
      </c>
      <c r="J60" s="31">
        <f>+TH!M64</f>
        <v>0.20833333333333334</v>
      </c>
      <c r="K60" s="31">
        <f>+TH!N64</f>
        <v>0.25</v>
      </c>
    </row>
    <row r="61" spans="1:11" x14ac:dyDescent="0.3">
      <c r="A61" s="32">
        <v>40</v>
      </c>
      <c r="B61" s="32">
        <f>+TH!E65</f>
        <v>1028001639</v>
      </c>
      <c r="C61" s="32" t="str">
        <f>+TH!F65</f>
        <v>015</v>
      </c>
      <c r="D61" s="32">
        <f>+TH!G65</f>
        <v>2026</v>
      </c>
      <c r="E61" s="32">
        <f>+TH!H65</f>
        <v>9</v>
      </c>
      <c r="F61" s="32" t="str">
        <f>+TH!I65</f>
        <v>2.0</v>
      </c>
      <c r="G61" s="32" t="str">
        <f>+TH!J65</f>
        <v>D</v>
      </c>
      <c r="H61" s="30">
        <f>+TH!K65</f>
        <v>46154</v>
      </c>
      <c r="I61" s="32" t="str">
        <f>+TH!L65</f>
        <v>NORMA</v>
      </c>
      <c r="J61" s="31">
        <f>+TH!M65</f>
        <v>0.5625</v>
      </c>
      <c r="K61" s="31">
        <f>+TH!N65</f>
        <v>0.64583333333333337</v>
      </c>
    </row>
    <row r="62" spans="1:11" x14ac:dyDescent="0.3">
      <c r="A62" s="32">
        <v>40</v>
      </c>
      <c r="B62" s="32">
        <f>+TH!E66</f>
        <v>1007934601</v>
      </c>
      <c r="C62" s="32" t="str">
        <f>+TH!F66</f>
        <v>010</v>
      </c>
      <c r="D62" s="32">
        <f>+TH!G66</f>
        <v>2026</v>
      </c>
      <c r="E62" s="32">
        <f>+TH!H66</f>
        <v>9</v>
      </c>
      <c r="F62" s="32" t="str">
        <f>+TH!I66</f>
        <v>1.0</v>
      </c>
      <c r="G62" s="32" t="str">
        <f>+TH!J66</f>
        <v>D</v>
      </c>
      <c r="H62" s="30">
        <f>+TH!K66</f>
        <v>46154</v>
      </c>
      <c r="I62" s="32" t="str">
        <f>+TH!L66</f>
        <v>NORMA</v>
      </c>
      <c r="J62" s="31">
        <f>+TH!M66</f>
        <v>0.20833333333333334</v>
      </c>
      <c r="K62" s="31">
        <f>+TH!N66</f>
        <v>0.25</v>
      </c>
    </row>
    <row r="63" spans="1:11" x14ac:dyDescent="0.3">
      <c r="A63" s="32">
        <v>40</v>
      </c>
      <c r="B63" s="32">
        <f>+TH!E67</f>
        <v>1007934601</v>
      </c>
      <c r="C63" s="32" t="str">
        <f>+TH!F67</f>
        <v>015</v>
      </c>
      <c r="D63" s="32">
        <f>+TH!G67</f>
        <v>2026</v>
      </c>
      <c r="E63" s="32">
        <f>+TH!H67</f>
        <v>9</v>
      </c>
      <c r="F63" s="32" t="str">
        <f>+TH!I67</f>
        <v>3.0</v>
      </c>
      <c r="G63" s="32" t="str">
        <f>+TH!J67</f>
        <v>D</v>
      </c>
      <c r="H63" s="30">
        <f>+TH!K67</f>
        <v>46154</v>
      </c>
      <c r="I63" s="32" t="str">
        <f>+TH!L67</f>
        <v>NORMA</v>
      </c>
      <c r="J63" s="31">
        <f>+TH!M67</f>
        <v>0.5625</v>
      </c>
      <c r="K63" s="31">
        <f>+TH!N67</f>
        <v>0.6875</v>
      </c>
    </row>
    <row r="64" spans="1:11" x14ac:dyDescent="0.3">
      <c r="A64" s="32">
        <v>40</v>
      </c>
      <c r="B64" s="32">
        <f>+TH!E68</f>
        <v>1045507636</v>
      </c>
      <c r="C64" s="32" t="str">
        <f>+TH!F68</f>
        <v>015</v>
      </c>
      <c r="D64" s="32">
        <f>+TH!G68</f>
        <v>2026</v>
      </c>
      <c r="E64" s="32">
        <f>+TH!H68</f>
        <v>9</v>
      </c>
      <c r="F64" s="32" t="str">
        <f>+TH!I68</f>
        <v>5.0</v>
      </c>
      <c r="G64" s="32" t="str">
        <f>+TH!J68</f>
        <v>D</v>
      </c>
      <c r="H64" s="30">
        <f>+TH!K68</f>
        <v>46154</v>
      </c>
      <c r="I64" s="32" t="str">
        <f>+TH!L68</f>
        <v>NORMA</v>
      </c>
      <c r="J64" s="31">
        <f>+TH!M68</f>
        <v>0.60416666666666663</v>
      </c>
      <c r="K64" s="31">
        <f>+TH!N68</f>
        <v>0.8125</v>
      </c>
    </row>
    <row r="65" spans="1:11" x14ac:dyDescent="0.3">
      <c r="A65" s="32">
        <v>40</v>
      </c>
      <c r="B65" s="32">
        <f>+TH!E69</f>
        <v>1193514094</v>
      </c>
      <c r="C65" s="32" t="str">
        <f>+TH!F69</f>
        <v>010</v>
      </c>
      <c r="D65" s="32">
        <f>+TH!G69</f>
        <v>2026</v>
      </c>
      <c r="E65" s="32">
        <f>+TH!H69</f>
        <v>9</v>
      </c>
      <c r="F65" s="32" t="str">
        <f>+TH!I69</f>
        <v>1.0</v>
      </c>
      <c r="G65" s="32" t="str">
        <f>+TH!J69</f>
        <v>D</v>
      </c>
      <c r="H65" s="30">
        <f>+TH!K69</f>
        <v>46154</v>
      </c>
      <c r="I65" s="32" t="str">
        <f>+TH!L69</f>
        <v>NORMA</v>
      </c>
      <c r="J65" s="31">
        <f>+TH!M69</f>
        <v>0.20833333333333334</v>
      </c>
      <c r="K65" s="31">
        <f>+TH!N69</f>
        <v>0.25</v>
      </c>
    </row>
    <row r="66" spans="1:11" x14ac:dyDescent="0.3">
      <c r="A66" s="32">
        <v>40</v>
      </c>
      <c r="B66" s="32">
        <f>+TH!E70</f>
        <v>1193514094</v>
      </c>
      <c r="C66" s="32" t="str">
        <f>+TH!F70</f>
        <v>015</v>
      </c>
      <c r="D66" s="32">
        <f>+TH!G70</f>
        <v>2026</v>
      </c>
      <c r="E66" s="32">
        <f>+TH!H70</f>
        <v>9</v>
      </c>
      <c r="F66" s="32" t="str">
        <f>+TH!I70</f>
        <v>5.0</v>
      </c>
      <c r="G66" s="32" t="str">
        <f>+TH!J70</f>
        <v>D</v>
      </c>
      <c r="H66" s="30">
        <f>+TH!K70</f>
        <v>46154</v>
      </c>
      <c r="I66" s="32" t="str">
        <f>+TH!L70</f>
        <v>NORMA</v>
      </c>
      <c r="J66" s="31">
        <f>+TH!M70</f>
        <v>0.5625</v>
      </c>
      <c r="K66" s="31">
        <f>+TH!N70</f>
        <v>0.77083333333333337</v>
      </c>
    </row>
    <row r="67" spans="1:11" x14ac:dyDescent="0.3">
      <c r="A67" s="32">
        <v>40</v>
      </c>
      <c r="B67" s="32">
        <f>+TH!E71</f>
        <v>1193102418</v>
      </c>
      <c r="C67" s="32" t="str">
        <f>+TH!F71</f>
        <v>015</v>
      </c>
      <c r="D67" s="32">
        <f>+TH!G71</f>
        <v>2026</v>
      </c>
      <c r="E67" s="32">
        <f>+TH!H71</f>
        <v>9</v>
      </c>
      <c r="F67" s="32" t="str">
        <f>+TH!I71</f>
        <v>1.0</v>
      </c>
      <c r="G67" s="32" t="str">
        <f>+TH!J71</f>
        <v>D</v>
      </c>
      <c r="H67" s="30">
        <f>+TH!K71</f>
        <v>46154</v>
      </c>
      <c r="I67" s="32" t="str">
        <f>+TH!L71</f>
        <v>NORMA</v>
      </c>
      <c r="J67" s="31">
        <f>+TH!M71</f>
        <v>0.60416666666666663</v>
      </c>
      <c r="K67" s="31">
        <f>+TH!N71</f>
        <v>0.64583333333333337</v>
      </c>
    </row>
    <row r="68" spans="1:11" x14ac:dyDescent="0.3">
      <c r="A68" s="32">
        <v>40</v>
      </c>
      <c r="B68" s="32">
        <f>+TH!E72</f>
        <v>73079841</v>
      </c>
      <c r="C68" s="32" t="str">
        <f>+TH!F72</f>
        <v>015</v>
      </c>
      <c r="D68" s="32">
        <f>+TH!G72</f>
        <v>2026</v>
      </c>
      <c r="E68" s="32">
        <f>+TH!H72</f>
        <v>9</v>
      </c>
      <c r="F68" s="32" t="str">
        <f>+TH!I72</f>
        <v>3.0</v>
      </c>
      <c r="G68" s="32" t="str">
        <f>+TH!J72</f>
        <v>D</v>
      </c>
      <c r="H68" s="30">
        <f>+TH!K72</f>
        <v>46154</v>
      </c>
      <c r="I68" s="32" t="str">
        <f>+TH!L72</f>
        <v>NORMA</v>
      </c>
      <c r="J68" s="31">
        <f>+TH!M72</f>
        <v>0.60416666666666663</v>
      </c>
      <c r="K68" s="31">
        <f>+TH!N72</f>
        <v>0.72916666666666663</v>
      </c>
    </row>
    <row r="69" spans="1:11" x14ac:dyDescent="0.3">
      <c r="A69" s="32">
        <v>40</v>
      </c>
      <c r="B69" s="32">
        <f>+TH!E73</f>
        <v>8324965</v>
      </c>
      <c r="C69" s="32" t="str">
        <f>+TH!F73</f>
        <v>015</v>
      </c>
      <c r="D69" s="32">
        <f>+TH!G73</f>
        <v>2026</v>
      </c>
      <c r="E69" s="32">
        <f>+TH!H73</f>
        <v>9</v>
      </c>
      <c r="F69" s="32" t="str">
        <f>+TH!I73</f>
        <v>3.30</v>
      </c>
      <c r="G69" s="32" t="str">
        <f>+TH!J73</f>
        <v>D</v>
      </c>
      <c r="H69" s="30">
        <f>+TH!K73</f>
        <v>46154</v>
      </c>
      <c r="I69" s="32" t="str">
        <f>+TH!L73</f>
        <v>NORMA</v>
      </c>
      <c r="J69" s="31">
        <f>+TH!M73</f>
        <v>0.60416666666666663</v>
      </c>
      <c r="K69" s="31">
        <f>+TH!N73</f>
        <v>0.75</v>
      </c>
    </row>
    <row r="70" spans="1:11" x14ac:dyDescent="0.3">
      <c r="A70" s="32">
        <v>40</v>
      </c>
      <c r="B70" s="32">
        <f>+TH!E74</f>
        <v>1018226401</v>
      </c>
      <c r="C70" s="32" t="str">
        <f>+TH!F74</f>
        <v>010</v>
      </c>
      <c r="D70" s="32">
        <f>+TH!G74</f>
        <v>2026</v>
      </c>
      <c r="E70" s="32">
        <f>+TH!H74</f>
        <v>9</v>
      </c>
      <c r="F70" s="32" t="str">
        <f>+TH!I74</f>
        <v>1.0</v>
      </c>
      <c r="G70" s="32" t="str">
        <f>+TH!J74</f>
        <v>D</v>
      </c>
      <c r="H70" s="30">
        <f>+TH!K74</f>
        <v>46154</v>
      </c>
      <c r="I70" s="32" t="str">
        <f>+TH!L74</f>
        <v>NORMA</v>
      </c>
      <c r="J70" s="31">
        <f>+TH!M74</f>
        <v>0.20833333333333334</v>
      </c>
      <c r="K70" s="31">
        <f>+TH!N74</f>
        <v>0.25</v>
      </c>
    </row>
    <row r="71" spans="1:11" x14ac:dyDescent="0.3">
      <c r="A71" s="32">
        <v>40</v>
      </c>
      <c r="B71" s="32">
        <f>+TH!E75</f>
        <v>78752718</v>
      </c>
      <c r="C71" s="32" t="str">
        <f>+TH!F75</f>
        <v>010</v>
      </c>
      <c r="D71" s="32">
        <f>+TH!G75</f>
        <v>2026</v>
      </c>
      <c r="E71" s="32">
        <f>+TH!H75</f>
        <v>9</v>
      </c>
      <c r="F71" s="32" t="str">
        <f>+TH!I75</f>
        <v>1.0</v>
      </c>
      <c r="G71" s="32" t="str">
        <f>+TH!J75</f>
        <v>D</v>
      </c>
      <c r="H71" s="30">
        <f>+TH!K75</f>
        <v>46154</v>
      </c>
      <c r="I71" s="32" t="str">
        <f>+TH!L75</f>
        <v>NORMA</v>
      </c>
      <c r="J71" s="31">
        <f>+TH!M75</f>
        <v>0.20833333333333334</v>
      </c>
      <c r="K71" s="31">
        <f>+TH!N75</f>
        <v>0.25</v>
      </c>
    </row>
    <row r="72" spans="1:11" x14ac:dyDescent="0.3">
      <c r="A72" s="32">
        <v>40</v>
      </c>
      <c r="B72" s="32">
        <f>+TH!E76</f>
        <v>1028013428</v>
      </c>
      <c r="C72" s="32" t="str">
        <f>+TH!F76</f>
        <v>010</v>
      </c>
      <c r="D72" s="32">
        <f>+TH!G76</f>
        <v>2026</v>
      </c>
      <c r="E72" s="32">
        <f>+TH!H76</f>
        <v>9</v>
      </c>
      <c r="F72" s="32" t="str">
        <f>+TH!I76</f>
        <v>2.05</v>
      </c>
      <c r="G72" s="32" t="str">
        <f>+TH!J76</f>
        <v>D</v>
      </c>
      <c r="H72" s="30">
        <f>+TH!K76</f>
        <v>46154</v>
      </c>
      <c r="I72" s="32" t="str">
        <f>+TH!L76</f>
        <v>NORMA</v>
      </c>
      <c r="J72" s="31">
        <f>+TH!M76</f>
        <v>0.16319444444444445</v>
      </c>
      <c r="K72" s="31">
        <f>+TH!N76</f>
        <v>0.25</v>
      </c>
    </row>
    <row r="73" spans="1:11" x14ac:dyDescent="0.3">
      <c r="A73" s="32">
        <v>40</v>
      </c>
      <c r="B73" s="32">
        <f>+TH!E77</f>
        <v>1028013428</v>
      </c>
      <c r="C73" s="32" t="str">
        <f>+TH!F77</f>
        <v>015</v>
      </c>
      <c r="D73" s="32">
        <f>+TH!G77</f>
        <v>2026</v>
      </c>
      <c r="E73" s="32">
        <f>+TH!H77</f>
        <v>9</v>
      </c>
      <c r="F73" s="32" t="str">
        <f>+TH!I77</f>
        <v>6.0</v>
      </c>
      <c r="G73" s="32" t="str">
        <f>+TH!J77</f>
        <v>D</v>
      </c>
      <c r="H73" s="30">
        <f>+TH!K77</f>
        <v>46154</v>
      </c>
      <c r="I73" s="32" t="str">
        <f>+TH!L77</f>
        <v>NORMA</v>
      </c>
      <c r="J73" s="31">
        <f>+TH!M77</f>
        <v>0.54166666666666663</v>
      </c>
      <c r="K73" s="31">
        <f>+TH!N77</f>
        <v>0.79166666666666663</v>
      </c>
    </row>
    <row r="74" spans="1:11" x14ac:dyDescent="0.3">
      <c r="A74" s="32">
        <v>40</v>
      </c>
      <c r="B74" s="32">
        <f>+TH!E78</f>
        <v>1028003079</v>
      </c>
      <c r="C74" s="32" t="str">
        <f>+TH!F78</f>
        <v>010</v>
      </c>
      <c r="D74" s="32">
        <f>+TH!G78</f>
        <v>2026</v>
      </c>
      <c r="E74" s="32">
        <f>+TH!H78</f>
        <v>9</v>
      </c>
      <c r="F74" s="32" t="str">
        <f>+TH!I78</f>
        <v>1.45</v>
      </c>
      <c r="G74" s="32" t="str">
        <f>+TH!J78</f>
        <v>D</v>
      </c>
      <c r="H74" s="30">
        <f>+TH!K78</f>
        <v>46154</v>
      </c>
      <c r="I74" s="32" t="str">
        <f>+TH!L78</f>
        <v>NORMA</v>
      </c>
      <c r="J74" s="31">
        <f>+TH!M78</f>
        <v>0.17708333333333334</v>
      </c>
      <c r="K74" s="31">
        <f>+TH!N78</f>
        <v>0.25</v>
      </c>
    </row>
    <row r="75" spans="1:11" x14ac:dyDescent="0.3">
      <c r="A75" s="32">
        <v>40</v>
      </c>
      <c r="B75" s="32">
        <f>+TH!E79</f>
        <v>1028003079</v>
      </c>
      <c r="C75" s="32" t="str">
        <f>+TH!F79</f>
        <v>015</v>
      </c>
      <c r="D75" s="32">
        <f>+TH!G79</f>
        <v>2026</v>
      </c>
      <c r="E75" s="32">
        <f>+TH!H79</f>
        <v>9</v>
      </c>
      <c r="F75" s="32" t="str">
        <f>+TH!I79</f>
        <v>3.0</v>
      </c>
      <c r="G75" s="32" t="str">
        <f>+TH!J79</f>
        <v>D</v>
      </c>
      <c r="H75" s="30">
        <f>+TH!K79</f>
        <v>46154</v>
      </c>
      <c r="I75" s="32" t="str">
        <f>+TH!L79</f>
        <v>NORMA</v>
      </c>
      <c r="J75" s="31">
        <f>+TH!M79</f>
        <v>0.53819444444444442</v>
      </c>
      <c r="K75" s="31">
        <f>+TH!N79</f>
        <v>0.66319444444444442</v>
      </c>
    </row>
    <row r="76" spans="1:11" x14ac:dyDescent="0.3">
      <c r="A76" s="32">
        <v>40</v>
      </c>
      <c r="B76" s="32">
        <f>+TH!E80</f>
        <v>1045494128</v>
      </c>
      <c r="C76" s="32" t="str">
        <f>+TH!F80</f>
        <v>010</v>
      </c>
      <c r="D76" s="32">
        <f>+TH!G80</f>
        <v>2026</v>
      </c>
      <c r="E76" s="32">
        <f>+TH!H80</f>
        <v>9</v>
      </c>
      <c r="F76" s="32" t="str">
        <f>+TH!I80</f>
        <v>2.0</v>
      </c>
      <c r="G76" s="32" t="str">
        <f>+TH!J80</f>
        <v>D</v>
      </c>
      <c r="H76" s="30">
        <f>+TH!K80</f>
        <v>46154</v>
      </c>
      <c r="I76" s="32" t="str">
        <f>+TH!L80</f>
        <v>NORMA</v>
      </c>
      <c r="J76" s="31">
        <f>+TH!M80</f>
        <v>0.16666666666666666</v>
      </c>
      <c r="K76" s="31">
        <f>+TH!N80</f>
        <v>0.25</v>
      </c>
    </row>
    <row r="77" spans="1:11" x14ac:dyDescent="0.3">
      <c r="A77" s="32">
        <v>40</v>
      </c>
      <c r="B77" s="32">
        <f>+TH!E81</f>
        <v>1045494128</v>
      </c>
      <c r="C77" s="32" t="str">
        <f>+TH!F81</f>
        <v>015</v>
      </c>
      <c r="D77" s="32">
        <f>+TH!G81</f>
        <v>2026</v>
      </c>
      <c r="E77" s="32">
        <f>+TH!H81</f>
        <v>9</v>
      </c>
      <c r="F77" s="32" t="str">
        <f>+TH!I81</f>
        <v>4.30</v>
      </c>
      <c r="G77" s="32" t="str">
        <f>+TH!J81</f>
        <v>D</v>
      </c>
      <c r="H77" s="30">
        <f>+TH!K81</f>
        <v>46154</v>
      </c>
      <c r="I77" s="32" t="str">
        <f>+TH!L81</f>
        <v>NORMA</v>
      </c>
      <c r="J77" s="31">
        <f>+TH!M81</f>
        <v>0.60416666666666663</v>
      </c>
      <c r="K77" s="31">
        <f>+TH!N81</f>
        <v>0.79166666666666663</v>
      </c>
    </row>
    <row r="78" spans="1:11" x14ac:dyDescent="0.3">
      <c r="A78" s="32">
        <v>40</v>
      </c>
      <c r="B78" s="32">
        <f>+TH!E82</f>
        <v>1045494128</v>
      </c>
      <c r="C78" s="32" t="str">
        <f>+TH!F82</f>
        <v>016</v>
      </c>
      <c r="D78" s="32">
        <f>+TH!G82</f>
        <v>2026</v>
      </c>
      <c r="E78" s="32">
        <f>+TH!H82</f>
        <v>9</v>
      </c>
      <c r="F78" s="32" t="str">
        <f>+TH!I82</f>
        <v>1.0</v>
      </c>
      <c r="G78" s="32" t="str">
        <f>+TH!J82</f>
        <v>D</v>
      </c>
      <c r="H78" s="30">
        <f>+TH!K82</f>
        <v>46154</v>
      </c>
      <c r="I78" s="32" t="str">
        <f>+TH!L82</f>
        <v>NORMA</v>
      </c>
      <c r="J78" s="31">
        <f>+TH!M82</f>
        <v>0.79236111111111107</v>
      </c>
      <c r="K78" s="31">
        <f>+TH!N82</f>
        <v>0.83333333333333337</v>
      </c>
    </row>
    <row r="79" spans="1:11" x14ac:dyDescent="0.3">
      <c r="A79" s="32">
        <v>40</v>
      </c>
      <c r="B79" s="32">
        <f>+TH!E83</f>
        <v>1033658114</v>
      </c>
      <c r="C79" s="32" t="str">
        <f>+TH!F83</f>
        <v>010</v>
      </c>
      <c r="D79" s="32">
        <f>+TH!G83</f>
        <v>2026</v>
      </c>
      <c r="E79" s="32">
        <f>+TH!H83</f>
        <v>9</v>
      </c>
      <c r="F79" s="32" t="str">
        <f>+TH!I83</f>
        <v>1.30</v>
      </c>
      <c r="G79" s="32" t="str">
        <f>+TH!J83</f>
        <v>D</v>
      </c>
      <c r="H79" s="30">
        <f>+TH!K83</f>
        <v>46154</v>
      </c>
      <c r="I79" s="32" t="str">
        <f>+TH!L83</f>
        <v>NORMA</v>
      </c>
      <c r="J79" s="31">
        <f>+TH!M83</f>
        <v>0.1875</v>
      </c>
      <c r="K79" s="31">
        <f>+TH!N83</f>
        <v>0.25</v>
      </c>
    </row>
    <row r="80" spans="1:11" x14ac:dyDescent="0.3">
      <c r="A80" s="32">
        <v>40</v>
      </c>
      <c r="B80" s="32">
        <f>+TH!E84</f>
        <v>1033658114</v>
      </c>
      <c r="C80" s="32" t="str">
        <f>+TH!F84</f>
        <v>015</v>
      </c>
      <c r="D80" s="32">
        <f>+TH!G84</f>
        <v>2026</v>
      </c>
      <c r="E80" s="32">
        <f>+TH!H84</f>
        <v>9</v>
      </c>
      <c r="F80" s="32" t="str">
        <f>+TH!I84</f>
        <v>5.0</v>
      </c>
      <c r="G80" s="32" t="str">
        <f>+TH!J84</f>
        <v>D</v>
      </c>
      <c r="H80" s="30">
        <f>+TH!K84</f>
        <v>46154</v>
      </c>
      <c r="I80" s="32" t="str">
        <f>+TH!L84</f>
        <v>NORMA</v>
      </c>
      <c r="J80" s="31">
        <f>+TH!M84</f>
        <v>0.54166666666666663</v>
      </c>
      <c r="K80" s="31">
        <f>+TH!N84</f>
        <v>0.75</v>
      </c>
    </row>
    <row r="81" spans="1:11" x14ac:dyDescent="0.3">
      <c r="A81" s="32">
        <v>40</v>
      </c>
      <c r="B81" s="32">
        <f>+TH!E85</f>
        <v>1039079165</v>
      </c>
      <c r="C81" s="32" t="str">
        <f>+TH!F85</f>
        <v>015</v>
      </c>
      <c r="D81" s="32">
        <f>+TH!G85</f>
        <v>2026</v>
      </c>
      <c r="E81" s="32">
        <f>+TH!H85</f>
        <v>9</v>
      </c>
      <c r="F81" s="32" t="str">
        <f>+TH!I85</f>
        <v>5.0</v>
      </c>
      <c r="G81" s="32" t="str">
        <f>+TH!J85</f>
        <v>D</v>
      </c>
      <c r="H81" s="30">
        <f>+TH!K85</f>
        <v>46154</v>
      </c>
      <c r="I81" s="32" t="str">
        <f>+TH!L85</f>
        <v>NORMA</v>
      </c>
      <c r="J81" s="31">
        <f>+TH!M85</f>
        <v>0.5625</v>
      </c>
      <c r="K81" s="31">
        <f>+TH!N85</f>
        <v>0.77083333333333337</v>
      </c>
    </row>
    <row r="82" spans="1:11" x14ac:dyDescent="0.3">
      <c r="A82" s="32">
        <v>40</v>
      </c>
      <c r="B82" s="32">
        <f>+TH!E86</f>
        <v>1007519039</v>
      </c>
      <c r="C82" s="32" t="str">
        <f>+TH!F86</f>
        <v>010</v>
      </c>
      <c r="D82" s="32">
        <f>+TH!G86</f>
        <v>2026</v>
      </c>
      <c r="E82" s="32">
        <f>+TH!H86</f>
        <v>9</v>
      </c>
      <c r="F82" s="32" t="str">
        <f>+TH!I86</f>
        <v>1.0</v>
      </c>
      <c r="G82" s="32" t="str">
        <f>+TH!J86</f>
        <v>D</v>
      </c>
      <c r="H82" s="30">
        <f>+TH!K86</f>
        <v>46154</v>
      </c>
      <c r="I82" s="32" t="str">
        <f>+TH!L86</f>
        <v>NORMA</v>
      </c>
      <c r="J82" s="31">
        <f>+TH!M86</f>
        <v>0.79166666666666663</v>
      </c>
      <c r="K82" s="31">
        <f>+TH!N86</f>
        <v>0.83333333333333337</v>
      </c>
    </row>
    <row r="83" spans="1:11" x14ac:dyDescent="0.3">
      <c r="A83" s="32">
        <v>40</v>
      </c>
      <c r="B83" s="32">
        <f>+TH!E87</f>
        <v>73195683</v>
      </c>
      <c r="C83" s="32" t="str">
        <f>+TH!F87</f>
        <v>015</v>
      </c>
      <c r="D83" s="32">
        <f>+TH!G87</f>
        <v>2026</v>
      </c>
      <c r="E83" s="32">
        <f>+TH!H87</f>
        <v>9</v>
      </c>
      <c r="F83" s="32" t="str">
        <f>+TH!I87</f>
        <v>2.0</v>
      </c>
      <c r="G83" s="32" t="str">
        <f>+TH!J87</f>
        <v>D</v>
      </c>
      <c r="H83" s="30">
        <f>+TH!K87</f>
        <v>46154</v>
      </c>
      <c r="I83" s="32" t="str">
        <f>+TH!L87</f>
        <v>NORMA</v>
      </c>
      <c r="J83" s="31">
        <f>+TH!M87</f>
        <v>0.60416666666666663</v>
      </c>
      <c r="K83" s="31">
        <f>+TH!N87</f>
        <v>0.6875</v>
      </c>
    </row>
    <row r="84" spans="1:11" x14ac:dyDescent="0.3">
      <c r="A84" s="32">
        <v>40</v>
      </c>
      <c r="B84" s="32">
        <f>+TH!E88</f>
        <v>1007350657</v>
      </c>
      <c r="C84" s="32" t="str">
        <f>+TH!F88</f>
        <v>015</v>
      </c>
      <c r="D84" s="32">
        <f>+TH!G88</f>
        <v>2026</v>
      </c>
      <c r="E84" s="32">
        <f>+TH!H88</f>
        <v>9</v>
      </c>
      <c r="F84" s="32" t="str">
        <f>+TH!I88</f>
        <v>2.0</v>
      </c>
      <c r="G84" s="32" t="str">
        <f>+TH!J88</f>
        <v>D</v>
      </c>
      <c r="H84" s="30">
        <f>+TH!K88</f>
        <v>46154</v>
      </c>
      <c r="I84" s="32" t="str">
        <f>+TH!L88</f>
        <v>NORMA</v>
      </c>
      <c r="J84" s="31">
        <f>+TH!M88</f>
        <v>0.60416666666666663</v>
      </c>
      <c r="K84" s="31">
        <f>+TH!N88</f>
        <v>0.6875</v>
      </c>
    </row>
    <row r="85" spans="1:11" x14ac:dyDescent="0.3">
      <c r="A85" s="32">
        <v>40</v>
      </c>
      <c r="B85" s="32">
        <f>+TH!E89</f>
        <v>1038133321</v>
      </c>
      <c r="C85" s="32" t="str">
        <f>+TH!F89</f>
        <v>015</v>
      </c>
      <c r="D85" s="32">
        <f>+TH!G89</f>
        <v>2026</v>
      </c>
      <c r="E85" s="32">
        <f>+TH!H89</f>
        <v>9</v>
      </c>
      <c r="F85" s="32" t="str">
        <f>+TH!I89</f>
        <v>1.0</v>
      </c>
      <c r="G85" s="32" t="str">
        <f>+TH!J89</f>
        <v>D</v>
      </c>
      <c r="H85" s="30">
        <f>+TH!K89</f>
        <v>46154</v>
      </c>
      <c r="I85" s="32" t="str">
        <f>+TH!L89</f>
        <v>NORMA</v>
      </c>
      <c r="J85" s="31">
        <f>+TH!M89</f>
        <v>0.60416666666666663</v>
      </c>
      <c r="K85" s="31">
        <f>+TH!N89</f>
        <v>0.64583333333333337</v>
      </c>
    </row>
    <row r="86" spans="1:11" x14ac:dyDescent="0.3">
      <c r="A86" s="32">
        <v>40</v>
      </c>
      <c r="B86" s="32">
        <f>+TH!E90</f>
        <v>1148191271</v>
      </c>
      <c r="C86" s="32" t="str">
        <f>+TH!F90</f>
        <v>015</v>
      </c>
      <c r="D86" s="32">
        <f>+TH!G90</f>
        <v>2026</v>
      </c>
      <c r="E86" s="32">
        <f>+TH!H90</f>
        <v>9</v>
      </c>
      <c r="F86" s="32" t="str">
        <f>+TH!I90</f>
        <v>1.0</v>
      </c>
      <c r="G86" s="32" t="str">
        <f>+TH!J90</f>
        <v>D</v>
      </c>
      <c r="H86" s="30">
        <f>+TH!K90</f>
        <v>46154</v>
      </c>
      <c r="I86" s="32" t="str">
        <f>+TH!L90</f>
        <v>NORMA</v>
      </c>
      <c r="J86" s="31">
        <f>+TH!M90</f>
        <v>0.60416666666666663</v>
      </c>
      <c r="K86" s="31">
        <f>+TH!N90</f>
        <v>0.64583333333333337</v>
      </c>
    </row>
    <row r="87" spans="1:11" x14ac:dyDescent="0.3">
      <c r="A87" s="32">
        <v>40</v>
      </c>
      <c r="B87" s="32">
        <f>+TH!E91</f>
        <v>1073969484</v>
      </c>
      <c r="C87" s="32" t="str">
        <f>+TH!F91</f>
        <v>015</v>
      </c>
      <c r="D87" s="32">
        <f>+TH!G91</f>
        <v>2026</v>
      </c>
      <c r="E87" s="32">
        <f>+TH!H91</f>
        <v>9</v>
      </c>
      <c r="F87" s="32" t="str">
        <f>+TH!I91</f>
        <v>2.0</v>
      </c>
      <c r="G87" s="32" t="str">
        <f>+TH!J91</f>
        <v>D</v>
      </c>
      <c r="H87" s="30">
        <f>+TH!K91</f>
        <v>46154</v>
      </c>
      <c r="I87" s="32" t="str">
        <f>+TH!L91</f>
        <v>NORMA</v>
      </c>
      <c r="J87" s="31">
        <f>+TH!M91</f>
        <v>0.60416666666666663</v>
      </c>
      <c r="K87" s="31">
        <f>+TH!N91</f>
        <v>0.6875</v>
      </c>
    </row>
    <row r="88" spans="1:11" x14ac:dyDescent="0.3">
      <c r="A88" s="32">
        <v>40</v>
      </c>
      <c r="B88" s="32">
        <f>+TH!E92</f>
        <v>1129501179</v>
      </c>
      <c r="C88" s="32" t="str">
        <f>+TH!F92</f>
        <v>015</v>
      </c>
      <c r="D88" s="32">
        <f>+TH!G92</f>
        <v>2026</v>
      </c>
      <c r="E88" s="32">
        <f>+TH!H92</f>
        <v>9</v>
      </c>
      <c r="F88" s="32" t="str">
        <f>+TH!I92</f>
        <v>1.0</v>
      </c>
      <c r="G88" s="32" t="str">
        <f>+TH!J92</f>
        <v>D</v>
      </c>
      <c r="H88" s="30">
        <f>+TH!K92</f>
        <v>46154</v>
      </c>
      <c r="I88" s="32" t="str">
        <f>+TH!L92</f>
        <v>NORMA</v>
      </c>
      <c r="J88" s="31">
        <f>+TH!M92</f>
        <v>0.60416666666666663</v>
      </c>
      <c r="K88" s="31">
        <f>+TH!N92</f>
        <v>0.64583333333333337</v>
      </c>
    </row>
    <row r="89" spans="1:11" x14ac:dyDescent="0.3">
      <c r="A89" s="32">
        <v>40</v>
      </c>
      <c r="B89" s="32">
        <f>+TH!E93</f>
        <v>1038100514</v>
      </c>
      <c r="C89" s="32" t="str">
        <f>+TH!F93</f>
        <v>015</v>
      </c>
      <c r="D89" s="32">
        <f>+TH!G93</f>
        <v>2026</v>
      </c>
      <c r="E89" s="32">
        <f>+TH!H93</f>
        <v>9</v>
      </c>
      <c r="F89" s="32" t="str">
        <f>+TH!I93</f>
        <v>1.0</v>
      </c>
      <c r="G89" s="32" t="str">
        <f>+TH!J93</f>
        <v>D</v>
      </c>
      <c r="H89" s="30">
        <f>+TH!K93</f>
        <v>46154</v>
      </c>
      <c r="I89" s="32" t="str">
        <f>+TH!L93</f>
        <v>NORMA</v>
      </c>
      <c r="J89" s="31">
        <f>+TH!M93</f>
        <v>0.60416666666666663</v>
      </c>
      <c r="K89" s="31">
        <f>+TH!N93</f>
        <v>0.64583333333333337</v>
      </c>
    </row>
    <row r="90" spans="1:11" x14ac:dyDescent="0.3">
      <c r="A90" s="32">
        <v>40</v>
      </c>
      <c r="B90" s="32">
        <f>+TH!E94</f>
        <v>1001533310</v>
      </c>
      <c r="C90" s="32" t="str">
        <f>+TH!F94</f>
        <v>010</v>
      </c>
      <c r="D90" s="32">
        <f>+TH!G94</f>
        <v>2026</v>
      </c>
      <c r="E90" s="32">
        <f>+TH!H94</f>
        <v>9</v>
      </c>
      <c r="F90" s="32" t="str">
        <f>+TH!I94</f>
        <v>5.0</v>
      </c>
      <c r="G90" s="32" t="str">
        <f>+TH!J94</f>
        <v>D</v>
      </c>
      <c r="H90" s="30">
        <f>+TH!K94</f>
        <v>46154</v>
      </c>
      <c r="I90" s="32" t="str">
        <f>+TH!L94</f>
        <v>NORMA</v>
      </c>
      <c r="J90" s="31">
        <f>+TH!M94</f>
        <v>4.1666666666666664E-2</v>
      </c>
      <c r="K90" s="31">
        <f>+TH!N94</f>
        <v>0.25</v>
      </c>
    </row>
    <row r="91" spans="1:11" x14ac:dyDescent="0.3">
      <c r="A91" s="32">
        <v>40</v>
      </c>
      <c r="B91" s="32">
        <f>+TH!E95</f>
        <v>1001533310</v>
      </c>
      <c r="C91" s="32" t="str">
        <f>+TH!F95</f>
        <v>015</v>
      </c>
      <c r="D91" s="32">
        <f>+TH!G95</f>
        <v>2026</v>
      </c>
      <c r="E91" s="32">
        <f>+TH!H95</f>
        <v>9</v>
      </c>
      <c r="F91" s="32" t="str">
        <f>+TH!I95</f>
        <v>4.0</v>
      </c>
      <c r="G91" s="32" t="str">
        <f>+TH!J95</f>
        <v>D</v>
      </c>
      <c r="H91" s="30">
        <f>+TH!K95</f>
        <v>46154</v>
      </c>
      <c r="I91" s="32" t="str">
        <f>+TH!L95</f>
        <v>NORMA</v>
      </c>
      <c r="J91" s="31">
        <f>+TH!M95</f>
        <v>0.375</v>
      </c>
      <c r="K91" s="31">
        <f>+TH!N95</f>
        <v>0.54166666666666663</v>
      </c>
    </row>
    <row r="92" spans="1:11" x14ac:dyDescent="0.3">
      <c r="A92" s="32">
        <v>40</v>
      </c>
      <c r="B92" s="32">
        <f>+TH!E96</f>
        <v>1038100612</v>
      </c>
      <c r="C92" s="32" t="str">
        <f>+TH!F96</f>
        <v>015</v>
      </c>
      <c r="D92" s="32">
        <f>+TH!G96</f>
        <v>2026</v>
      </c>
      <c r="E92" s="32">
        <f>+TH!H96</f>
        <v>9</v>
      </c>
      <c r="F92" s="32" t="str">
        <f>+TH!I96</f>
        <v>1.0</v>
      </c>
      <c r="G92" s="32" t="str">
        <f>+TH!J96</f>
        <v>D</v>
      </c>
      <c r="H92" s="30">
        <f>+TH!K96</f>
        <v>46154</v>
      </c>
      <c r="I92" s="32" t="str">
        <f>+TH!L96</f>
        <v>NORMA</v>
      </c>
      <c r="J92" s="31">
        <f>+TH!M96</f>
        <v>0.60416666666666663</v>
      </c>
      <c r="K92" s="31">
        <f>+TH!N96</f>
        <v>0.64583333333333337</v>
      </c>
    </row>
    <row r="93" spans="1:11" x14ac:dyDescent="0.3">
      <c r="A93" s="32">
        <v>40</v>
      </c>
      <c r="B93" s="32">
        <f>+TH!E97</f>
        <v>78305114</v>
      </c>
      <c r="C93" s="32" t="str">
        <f>+TH!F97</f>
        <v>015</v>
      </c>
      <c r="D93" s="32">
        <f>+TH!G97</f>
        <v>2026</v>
      </c>
      <c r="E93" s="32">
        <f>+TH!H97</f>
        <v>9</v>
      </c>
      <c r="F93" s="32" t="str">
        <f>+TH!I97</f>
        <v>2.0</v>
      </c>
      <c r="G93" s="32" t="str">
        <f>+TH!J97</f>
        <v>D</v>
      </c>
      <c r="H93" s="30">
        <f>+TH!K97</f>
        <v>46154</v>
      </c>
      <c r="I93" s="32" t="str">
        <f>+TH!L97</f>
        <v>NORMA</v>
      </c>
      <c r="J93" s="31">
        <f>+TH!M97</f>
        <v>0.60416666666666663</v>
      </c>
      <c r="K93" s="31">
        <f>+TH!N97</f>
        <v>0.6875</v>
      </c>
    </row>
    <row r="94" spans="1:11" x14ac:dyDescent="0.3">
      <c r="A94" s="32">
        <v>40</v>
      </c>
      <c r="B94" s="32">
        <f>+TH!E98</f>
        <v>8048422</v>
      </c>
      <c r="C94" s="32" t="str">
        <f>+TH!F98</f>
        <v>010</v>
      </c>
      <c r="D94" s="32">
        <f>+TH!G98</f>
        <v>2026</v>
      </c>
      <c r="E94" s="32">
        <f>+TH!H98</f>
        <v>9</v>
      </c>
      <c r="F94" s="32" t="str">
        <f>+TH!I98</f>
        <v>1.0</v>
      </c>
      <c r="G94" s="32" t="str">
        <f>+TH!J98</f>
        <v>D</v>
      </c>
      <c r="H94" s="30">
        <f>+TH!K98</f>
        <v>46154</v>
      </c>
      <c r="I94" s="32" t="str">
        <f>+TH!L98</f>
        <v>NORMA</v>
      </c>
      <c r="J94" s="31">
        <f>+TH!M98</f>
        <v>0.79166666666666663</v>
      </c>
      <c r="K94" s="31">
        <f>+TH!N98</f>
        <v>0.83333333333333337</v>
      </c>
    </row>
    <row r="95" spans="1:11" x14ac:dyDescent="0.3">
      <c r="A95" s="32">
        <v>40</v>
      </c>
      <c r="B95" s="32">
        <f>+TH!E99</f>
        <v>15307071</v>
      </c>
      <c r="C95" s="32" t="str">
        <f>+TH!F99</f>
        <v>015</v>
      </c>
      <c r="D95" s="32">
        <f>+TH!G99</f>
        <v>2026</v>
      </c>
      <c r="E95" s="32">
        <f>+TH!H99</f>
        <v>9</v>
      </c>
      <c r="F95" s="32" t="str">
        <f>+TH!I99</f>
        <v>2.0</v>
      </c>
      <c r="G95" s="32" t="str">
        <f>+TH!J99</f>
        <v>D</v>
      </c>
      <c r="H95" s="30">
        <f>+TH!K99</f>
        <v>46154</v>
      </c>
      <c r="I95" s="32" t="str">
        <f>+TH!L99</f>
        <v>NORMA</v>
      </c>
      <c r="J95" s="31">
        <f>+TH!M99</f>
        <v>0.60416666666666663</v>
      </c>
      <c r="K95" s="31">
        <f>+TH!N99</f>
        <v>0.6875</v>
      </c>
    </row>
    <row r="96" spans="1:11" x14ac:dyDescent="0.3">
      <c r="A96" s="32">
        <v>40</v>
      </c>
      <c r="B96" s="32">
        <f>+TH!E100</f>
        <v>5107144</v>
      </c>
      <c r="C96" s="32" t="str">
        <f>+TH!F100</f>
        <v>015</v>
      </c>
      <c r="D96" s="32">
        <f>+TH!G100</f>
        <v>2026</v>
      </c>
      <c r="E96" s="32">
        <f>+TH!H100</f>
        <v>9</v>
      </c>
      <c r="F96" s="32" t="str">
        <f>+TH!I100</f>
        <v>2.0</v>
      </c>
      <c r="G96" s="32" t="str">
        <f>+TH!J100</f>
        <v>D</v>
      </c>
      <c r="H96" s="30">
        <f>+TH!K100</f>
        <v>46154</v>
      </c>
      <c r="I96" s="32" t="str">
        <f>+TH!L100</f>
        <v>NORMA</v>
      </c>
      <c r="J96" s="31">
        <f>+TH!M100</f>
        <v>0.60416666666666663</v>
      </c>
      <c r="K96" s="31">
        <f>+TH!N100</f>
        <v>0.6875</v>
      </c>
    </row>
    <row r="97" spans="1:11" x14ac:dyDescent="0.3">
      <c r="A97" s="32">
        <v>40</v>
      </c>
      <c r="B97" s="32">
        <f>+TH!E101</f>
        <v>1007536066</v>
      </c>
      <c r="C97" s="32" t="str">
        <f>+TH!F101</f>
        <v>015</v>
      </c>
      <c r="D97" s="32">
        <f>+TH!G101</f>
        <v>2026</v>
      </c>
      <c r="E97" s="32">
        <f>+TH!H101</f>
        <v>9</v>
      </c>
      <c r="F97" s="32" t="str">
        <f>+TH!I101</f>
        <v>4.0</v>
      </c>
      <c r="G97" s="32" t="str">
        <f>+TH!J101</f>
        <v>D</v>
      </c>
      <c r="H97" s="30">
        <f>+TH!K101</f>
        <v>46154</v>
      </c>
      <c r="I97" s="32" t="str">
        <f>+TH!L101</f>
        <v>NORMA</v>
      </c>
      <c r="J97" s="31">
        <f>+TH!M101</f>
        <v>0.60416666666666663</v>
      </c>
      <c r="K97" s="31">
        <f>+TH!N101</f>
        <v>0.77083333333333337</v>
      </c>
    </row>
    <row r="98" spans="1:11" x14ac:dyDescent="0.3">
      <c r="A98" s="32">
        <v>40</v>
      </c>
      <c r="B98" s="32">
        <f>+TH!E102</f>
        <v>1001534548</v>
      </c>
      <c r="C98" s="32" t="str">
        <f>+TH!F102</f>
        <v>015</v>
      </c>
      <c r="D98" s="32">
        <f>+TH!G102</f>
        <v>2026</v>
      </c>
      <c r="E98" s="32">
        <f>+TH!H102</f>
        <v>9</v>
      </c>
      <c r="F98" s="32" t="str">
        <f>+TH!I102</f>
        <v>4.0</v>
      </c>
      <c r="G98" s="32" t="str">
        <f>+TH!J102</f>
        <v>D</v>
      </c>
      <c r="H98" s="30">
        <f>+TH!K102</f>
        <v>46154</v>
      </c>
      <c r="I98" s="32" t="str">
        <f>+TH!L102</f>
        <v>NORMA</v>
      </c>
      <c r="J98" s="31">
        <f>+TH!M102</f>
        <v>0.60416666666666663</v>
      </c>
      <c r="K98" s="31">
        <f>+TH!N102</f>
        <v>0.77083333333333337</v>
      </c>
    </row>
    <row r="99" spans="1:11" x14ac:dyDescent="0.3">
      <c r="A99" s="32">
        <v>40</v>
      </c>
      <c r="B99" s="32">
        <f>+TH!E103</f>
        <v>1038128964</v>
      </c>
      <c r="C99" s="32" t="str">
        <f>+TH!F103</f>
        <v>015</v>
      </c>
      <c r="D99" s="32">
        <f>+TH!G103</f>
        <v>2026</v>
      </c>
      <c r="E99" s="32">
        <f>+TH!H103</f>
        <v>9</v>
      </c>
      <c r="F99" s="32" t="str">
        <f>+TH!I103</f>
        <v>4.0</v>
      </c>
      <c r="G99" s="32" t="str">
        <f>+TH!J103</f>
        <v>D</v>
      </c>
      <c r="H99" s="30">
        <f>+TH!K103</f>
        <v>46154</v>
      </c>
      <c r="I99" s="32" t="str">
        <f>+TH!L103</f>
        <v>NORMA</v>
      </c>
      <c r="J99" s="31">
        <f>+TH!M103</f>
        <v>0.60416666666666663</v>
      </c>
      <c r="K99" s="31">
        <f>+TH!N103</f>
        <v>0.77083333333333337</v>
      </c>
    </row>
    <row r="100" spans="1:11" x14ac:dyDescent="0.3">
      <c r="A100" s="32">
        <v>40</v>
      </c>
      <c r="B100" s="32">
        <f>+TH!E104</f>
        <v>1032247358</v>
      </c>
      <c r="C100" s="32" t="str">
        <f>+TH!F104</f>
        <v>015</v>
      </c>
      <c r="D100" s="32">
        <f>+TH!G104</f>
        <v>2026</v>
      </c>
      <c r="E100" s="32">
        <f>+TH!H104</f>
        <v>9</v>
      </c>
      <c r="F100" s="32" t="str">
        <f>+TH!I104</f>
        <v>4.0</v>
      </c>
      <c r="G100" s="32" t="str">
        <f>+TH!J104</f>
        <v>D</v>
      </c>
      <c r="H100" s="30">
        <f>+TH!K104</f>
        <v>46154</v>
      </c>
      <c r="I100" s="32" t="str">
        <f>+TH!L104</f>
        <v>NORMA</v>
      </c>
      <c r="J100" s="31">
        <f>+TH!M104</f>
        <v>0.60416666666666663</v>
      </c>
      <c r="K100" s="31">
        <f>+TH!N104</f>
        <v>0.77083333333333337</v>
      </c>
    </row>
    <row r="101" spans="1:11" x14ac:dyDescent="0.3">
      <c r="A101" s="32">
        <v>40</v>
      </c>
      <c r="B101" s="32">
        <f>+TH!E105</f>
        <v>1038106412</v>
      </c>
      <c r="C101" s="32" t="str">
        <f>+TH!F105</f>
        <v>010</v>
      </c>
      <c r="D101" s="32">
        <f>+TH!G105</f>
        <v>2026</v>
      </c>
      <c r="E101" s="32">
        <f>+TH!H105</f>
        <v>9</v>
      </c>
      <c r="F101" s="32" t="str">
        <f>+TH!I105</f>
        <v>1.0</v>
      </c>
      <c r="G101" s="32" t="str">
        <f>+TH!J105</f>
        <v>D</v>
      </c>
      <c r="H101" s="30">
        <f>+TH!K105</f>
        <v>46154</v>
      </c>
      <c r="I101" s="32" t="str">
        <f>+TH!L105</f>
        <v>NORMA</v>
      </c>
      <c r="J101" s="31">
        <f>+TH!M105</f>
        <v>0.20833333333333334</v>
      </c>
      <c r="K101" s="31">
        <f>+TH!N105</f>
        <v>0.25</v>
      </c>
    </row>
    <row r="102" spans="1:11" x14ac:dyDescent="0.3">
      <c r="A102" s="32">
        <v>40</v>
      </c>
      <c r="B102" s="32">
        <f>+TH!E106</f>
        <v>1038106412</v>
      </c>
      <c r="C102" s="32" t="str">
        <f>+TH!F106</f>
        <v>015</v>
      </c>
      <c r="D102" s="32">
        <f>+TH!G106</f>
        <v>2026</v>
      </c>
      <c r="E102" s="32">
        <f>+TH!H106</f>
        <v>9</v>
      </c>
      <c r="F102" s="32" t="str">
        <f>+TH!I106</f>
        <v>4.0</v>
      </c>
      <c r="G102" s="32" t="str">
        <f>+TH!J106</f>
        <v>D</v>
      </c>
      <c r="H102" s="30">
        <f>+TH!K106</f>
        <v>46154</v>
      </c>
      <c r="I102" s="32" t="str">
        <f>+TH!L106</f>
        <v>NORMA</v>
      </c>
      <c r="J102" s="31">
        <f>+TH!M106</f>
        <v>0.5625</v>
      </c>
      <c r="K102" s="31">
        <f>+TH!N106</f>
        <v>0.72916666666666663</v>
      </c>
    </row>
    <row r="103" spans="1:11" x14ac:dyDescent="0.3">
      <c r="A103" s="32">
        <v>40</v>
      </c>
      <c r="B103" s="32">
        <f>+TH!E107</f>
        <v>1038105785</v>
      </c>
      <c r="C103" s="32" t="str">
        <f>+TH!F107</f>
        <v>010</v>
      </c>
      <c r="D103" s="32">
        <f>+TH!G107</f>
        <v>2026</v>
      </c>
      <c r="E103" s="32">
        <f>+TH!H107</f>
        <v>9</v>
      </c>
      <c r="F103" s="32" t="str">
        <f>+TH!I107</f>
        <v>1.0</v>
      </c>
      <c r="G103" s="32" t="str">
        <f>+TH!J107</f>
        <v>D</v>
      </c>
      <c r="H103" s="30">
        <f>+TH!K107</f>
        <v>46154</v>
      </c>
      <c r="I103" s="32" t="str">
        <f>+TH!L107</f>
        <v>NORMA</v>
      </c>
      <c r="J103" s="31">
        <f>+TH!M107</f>
        <v>0.20833333333333334</v>
      </c>
      <c r="K103" s="31">
        <f>+TH!N107</f>
        <v>0.25</v>
      </c>
    </row>
    <row r="104" spans="1:11" x14ac:dyDescent="0.3">
      <c r="A104" s="32">
        <v>40</v>
      </c>
      <c r="B104" s="32">
        <f>+TH!E108</f>
        <v>1038105785</v>
      </c>
      <c r="C104" s="32" t="str">
        <f>+TH!F108</f>
        <v>015</v>
      </c>
      <c r="D104" s="32">
        <f>+TH!G108</f>
        <v>2026</v>
      </c>
      <c r="E104" s="32">
        <f>+TH!H108</f>
        <v>9</v>
      </c>
      <c r="F104" s="32" t="str">
        <f>+TH!I108</f>
        <v>4.0</v>
      </c>
      <c r="G104" s="32" t="str">
        <f>+TH!J108</f>
        <v>D</v>
      </c>
      <c r="H104" s="30">
        <f>+TH!K108</f>
        <v>46154</v>
      </c>
      <c r="I104" s="32" t="str">
        <f>+TH!L108</f>
        <v>NORMA</v>
      </c>
      <c r="J104" s="31">
        <f>+TH!M108</f>
        <v>0.5625</v>
      </c>
      <c r="K104" s="31">
        <f>+TH!N108</f>
        <v>0.72916666666666663</v>
      </c>
    </row>
    <row r="105" spans="1:11" x14ac:dyDescent="0.3">
      <c r="A105" s="32">
        <v>40</v>
      </c>
      <c r="B105" s="32">
        <f>+TH!E109</f>
        <v>1038105029</v>
      </c>
      <c r="C105" s="32" t="str">
        <f>+TH!F109</f>
        <v>010</v>
      </c>
      <c r="D105" s="32">
        <f>+TH!G109</f>
        <v>2026</v>
      </c>
      <c r="E105" s="32">
        <f>+TH!H109</f>
        <v>9</v>
      </c>
      <c r="F105" s="32" t="str">
        <f>+TH!I109</f>
        <v>1.0</v>
      </c>
      <c r="G105" s="32" t="str">
        <f>+TH!J109</f>
        <v>D</v>
      </c>
      <c r="H105" s="30">
        <f>+TH!K109</f>
        <v>46154</v>
      </c>
      <c r="I105" s="32" t="str">
        <f>+TH!L109</f>
        <v>NORMA</v>
      </c>
      <c r="J105" s="31">
        <f>+TH!M109</f>
        <v>0.20833333333333334</v>
      </c>
      <c r="K105" s="31">
        <f>+TH!N109</f>
        <v>0.25</v>
      </c>
    </row>
    <row r="106" spans="1:11" x14ac:dyDescent="0.3">
      <c r="A106" s="32">
        <v>40</v>
      </c>
      <c r="B106" s="32">
        <f>+TH!E110</f>
        <v>1038105029</v>
      </c>
      <c r="C106" s="32" t="str">
        <f>+TH!F110</f>
        <v>015</v>
      </c>
      <c r="D106" s="32">
        <f>+TH!G110</f>
        <v>2026</v>
      </c>
      <c r="E106" s="32">
        <f>+TH!H110</f>
        <v>9</v>
      </c>
      <c r="F106" s="32" t="str">
        <f>+TH!I110</f>
        <v>3.0</v>
      </c>
      <c r="G106" s="32" t="str">
        <f>+TH!J110</f>
        <v>D</v>
      </c>
      <c r="H106" s="30">
        <f>+TH!K110</f>
        <v>46154</v>
      </c>
      <c r="I106" s="32" t="str">
        <f>+TH!L110</f>
        <v>NORMA</v>
      </c>
      <c r="J106" s="31">
        <f>+TH!M110</f>
        <v>0.5625</v>
      </c>
      <c r="K106" s="31">
        <f>+TH!N110</f>
        <v>0.6875</v>
      </c>
    </row>
    <row r="107" spans="1:11" x14ac:dyDescent="0.3">
      <c r="A107" s="32">
        <v>40</v>
      </c>
      <c r="B107" s="32">
        <f>+TH!E111</f>
        <v>78303716</v>
      </c>
      <c r="C107" s="32" t="str">
        <f>+TH!F111</f>
        <v>015</v>
      </c>
      <c r="D107" s="32">
        <f>+TH!G111</f>
        <v>2026</v>
      </c>
      <c r="E107" s="32">
        <f>+TH!H111</f>
        <v>9</v>
      </c>
      <c r="F107" s="32" t="str">
        <f>+TH!I111</f>
        <v>2.0</v>
      </c>
      <c r="G107" s="32" t="str">
        <f>+TH!J111</f>
        <v>D</v>
      </c>
      <c r="H107" s="30">
        <f>+TH!K111</f>
        <v>46154</v>
      </c>
      <c r="I107" s="32" t="str">
        <f>+TH!L111</f>
        <v>NORMA</v>
      </c>
      <c r="J107" s="31">
        <f>+TH!M111</f>
        <v>0.60416666666666663</v>
      </c>
      <c r="K107" s="31">
        <f>+TH!N111</f>
        <v>0.6875</v>
      </c>
    </row>
    <row r="108" spans="1:11" x14ac:dyDescent="0.3">
      <c r="A108" s="32">
        <v>40</v>
      </c>
      <c r="B108" s="32">
        <f>+TH!E112</f>
        <v>1038479551</v>
      </c>
      <c r="C108" s="32" t="str">
        <f>+TH!F112</f>
        <v>015</v>
      </c>
      <c r="D108" s="32">
        <f>+TH!G112</f>
        <v>2026</v>
      </c>
      <c r="E108" s="32">
        <f>+TH!H112</f>
        <v>9</v>
      </c>
      <c r="F108" s="32" t="str">
        <f>+TH!I112</f>
        <v>2.0</v>
      </c>
      <c r="G108" s="32" t="str">
        <f>+TH!J112</f>
        <v>D</v>
      </c>
      <c r="H108" s="30">
        <f>+TH!K112</f>
        <v>46154</v>
      </c>
      <c r="I108" s="32" t="str">
        <f>+TH!L112</f>
        <v>NORMA</v>
      </c>
      <c r="J108" s="31">
        <f>+TH!M112</f>
        <v>0.60416666666666663</v>
      </c>
      <c r="K108" s="31">
        <f>+TH!N112</f>
        <v>0.6875</v>
      </c>
    </row>
    <row r="109" spans="1:11" x14ac:dyDescent="0.3">
      <c r="A109" s="32">
        <v>40</v>
      </c>
      <c r="B109" s="32">
        <f>+TH!E113</f>
        <v>1052960549</v>
      </c>
      <c r="C109" s="32" t="str">
        <f>+TH!F113</f>
        <v>015</v>
      </c>
      <c r="D109" s="32">
        <f>+TH!G113</f>
        <v>2026</v>
      </c>
      <c r="E109" s="32">
        <f>+TH!H113</f>
        <v>9</v>
      </c>
      <c r="F109" s="32" t="str">
        <f>+TH!I113</f>
        <v>4.0</v>
      </c>
      <c r="G109" s="32" t="str">
        <f>+TH!J113</f>
        <v>D</v>
      </c>
      <c r="H109" s="30">
        <f>+TH!K113</f>
        <v>46154</v>
      </c>
      <c r="I109" s="32" t="str">
        <f>+TH!L113</f>
        <v>NORMA</v>
      </c>
      <c r="J109" s="31">
        <f>+TH!M113</f>
        <v>0.60416666666666663</v>
      </c>
      <c r="K109" s="31">
        <f>+TH!N113</f>
        <v>0.77083333333333337</v>
      </c>
    </row>
    <row r="110" spans="1:11" x14ac:dyDescent="0.3">
      <c r="A110" s="32">
        <v>40</v>
      </c>
      <c r="B110" s="32">
        <f>+TH!E114</f>
        <v>78302596</v>
      </c>
      <c r="C110" s="32" t="str">
        <f>+TH!F114</f>
        <v>015</v>
      </c>
      <c r="D110" s="32">
        <f>+TH!G114</f>
        <v>2026</v>
      </c>
      <c r="E110" s="32">
        <f>+TH!H114</f>
        <v>9</v>
      </c>
      <c r="F110" s="32" t="str">
        <f>+TH!I114</f>
        <v>4.0</v>
      </c>
      <c r="G110" s="32" t="str">
        <f>+TH!J114</f>
        <v>D</v>
      </c>
      <c r="H110" s="30">
        <f>+TH!K114</f>
        <v>46154</v>
      </c>
      <c r="I110" s="32" t="str">
        <f>+TH!L114</f>
        <v>NORMA</v>
      </c>
      <c r="J110" s="31">
        <f>+TH!M114</f>
        <v>0.60416666666666663</v>
      </c>
      <c r="K110" s="31">
        <f>+TH!N114</f>
        <v>0.77083333333333337</v>
      </c>
    </row>
    <row r="111" spans="1:11" x14ac:dyDescent="0.3">
      <c r="A111" s="32">
        <v>40</v>
      </c>
      <c r="B111" s="32">
        <f>+TH!E115</f>
        <v>1038135724</v>
      </c>
      <c r="C111" s="32" t="str">
        <f>+TH!F115</f>
        <v>010</v>
      </c>
      <c r="D111" s="32">
        <f>+TH!G115</f>
        <v>2026</v>
      </c>
      <c r="E111" s="32">
        <f>+TH!H115</f>
        <v>9</v>
      </c>
      <c r="F111" s="32" t="str">
        <f>+TH!I115</f>
        <v>1.0</v>
      </c>
      <c r="G111" s="32" t="str">
        <f>+TH!J115</f>
        <v>D</v>
      </c>
      <c r="H111" s="30">
        <f>+TH!K115</f>
        <v>46154</v>
      </c>
      <c r="I111" s="32" t="str">
        <f>+TH!L115</f>
        <v>NORMA</v>
      </c>
      <c r="J111" s="31">
        <f>+TH!M115</f>
        <v>0.20833333333333334</v>
      </c>
      <c r="K111" s="31">
        <f>+TH!N115</f>
        <v>0.25</v>
      </c>
    </row>
    <row r="112" spans="1:11" x14ac:dyDescent="0.3">
      <c r="A112" s="32">
        <v>40</v>
      </c>
      <c r="B112" s="32">
        <f>+TH!E116</f>
        <v>1038135724</v>
      </c>
      <c r="C112" s="32" t="str">
        <f>+TH!F116</f>
        <v>015</v>
      </c>
      <c r="D112" s="32">
        <f>+TH!G116</f>
        <v>2026</v>
      </c>
      <c r="E112" s="32">
        <f>+TH!H116</f>
        <v>9</v>
      </c>
      <c r="F112" s="32" t="str">
        <f>+TH!I116</f>
        <v>4.0</v>
      </c>
      <c r="G112" s="32" t="str">
        <f>+TH!J116</f>
        <v>D</v>
      </c>
      <c r="H112" s="30">
        <f>+TH!K116</f>
        <v>46154</v>
      </c>
      <c r="I112" s="32" t="str">
        <f>+TH!L116</f>
        <v>NORMA</v>
      </c>
      <c r="J112" s="31">
        <f>+TH!M116</f>
        <v>0.5625</v>
      </c>
      <c r="K112" s="31">
        <f>+TH!N116</f>
        <v>0.72916666666666663</v>
      </c>
    </row>
    <row r="113" spans="1:11" x14ac:dyDescent="0.3">
      <c r="A113" s="32">
        <v>40</v>
      </c>
      <c r="B113" s="32">
        <f>+TH!E117</f>
        <v>78294567</v>
      </c>
      <c r="C113" s="32" t="str">
        <f>+TH!F117</f>
        <v>010</v>
      </c>
      <c r="D113" s="32">
        <f>+TH!G117</f>
        <v>2026</v>
      </c>
      <c r="E113" s="32">
        <f>+TH!H117</f>
        <v>9</v>
      </c>
      <c r="F113" s="32" t="str">
        <f>+TH!I117</f>
        <v>1.0</v>
      </c>
      <c r="G113" s="32" t="str">
        <f>+TH!J117</f>
        <v>D</v>
      </c>
      <c r="H113" s="30">
        <f>+TH!K117</f>
        <v>46154</v>
      </c>
      <c r="I113" s="32" t="str">
        <f>+TH!L117</f>
        <v>NORMA</v>
      </c>
      <c r="J113" s="31">
        <f>+TH!M117</f>
        <v>0.20833333333333334</v>
      </c>
      <c r="K113" s="31">
        <f>+TH!N117</f>
        <v>0.25</v>
      </c>
    </row>
    <row r="114" spans="1:11" x14ac:dyDescent="0.3">
      <c r="A114" s="32">
        <v>40</v>
      </c>
      <c r="B114" s="32">
        <f>+TH!E118</f>
        <v>78294567</v>
      </c>
      <c r="C114" s="32" t="str">
        <f>+TH!F118</f>
        <v>015</v>
      </c>
      <c r="D114" s="32">
        <f>+TH!G118</f>
        <v>2026</v>
      </c>
      <c r="E114" s="32">
        <f>+TH!H118</f>
        <v>9</v>
      </c>
      <c r="F114" s="32" t="str">
        <f>+TH!I118</f>
        <v>4.0</v>
      </c>
      <c r="G114" s="32" t="str">
        <f>+TH!J118</f>
        <v>D</v>
      </c>
      <c r="H114" s="30">
        <f>+TH!K118</f>
        <v>46154</v>
      </c>
      <c r="I114" s="32" t="str">
        <f>+TH!L118</f>
        <v>NORMA</v>
      </c>
      <c r="J114" s="31">
        <f>+TH!M118</f>
        <v>0.5625</v>
      </c>
      <c r="K114" s="31">
        <f>+TH!N118</f>
        <v>0.72916666666666663</v>
      </c>
    </row>
    <row r="115" spans="1:11" x14ac:dyDescent="0.3">
      <c r="A115" s="32">
        <v>40</v>
      </c>
      <c r="B115" s="32">
        <f>+TH!E119</f>
        <v>1040491322</v>
      </c>
      <c r="C115" s="32" t="str">
        <f>+TH!F119</f>
        <v>015</v>
      </c>
      <c r="D115" s="32">
        <f>+TH!G119</f>
        <v>2026</v>
      </c>
      <c r="E115" s="32">
        <f>+TH!H119</f>
        <v>9</v>
      </c>
      <c r="F115" s="32" t="str">
        <f>+TH!I119</f>
        <v>2.0</v>
      </c>
      <c r="G115" s="32" t="str">
        <f>+TH!J119</f>
        <v>D</v>
      </c>
      <c r="H115" s="30">
        <f>+TH!K119</f>
        <v>46154</v>
      </c>
      <c r="I115" s="32" t="str">
        <f>+TH!L119</f>
        <v>NORMA</v>
      </c>
      <c r="J115" s="31">
        <f>+TH!M119</f>
        <v>0.60416666666666663</v>
      </c>
      <c r="K115" s="31">
        <f>+TH!N119</f>
        <v>0.6875</v>
      </c>
    </row>
    <row r="116" spans="1:11" x14ac:dyDescent="0.3">
      <c r="A116" s="32">
        <v>40</v>
      </c>
      <c r="B116" s="32">
        <f>+TH!E120</f>
        <v>1038101705</v>
      </c>
      <c r="C116" s="32" t="str">
        <f>+TH!F120</f>
        <v>015</v>
      </c>
      <c r="D116" s="32">
        <f>+TH!G120</f>
        <v>2026</v>
      </c>
      <c r="E116" s="32">
        <f>+TH!H120</f>
        <v>9</v>
      </c>
      <c r="F116" s="32" t="str">
        <f>+TH!I120</f>
        <v>2.30</v>
      </c>
      <c r="G116" s="32" t="str">
        <f>+TH!J120</f>
        <v>D</v>
      </c>
      <c r="H116" s="30">
        <f>+TH!K120</f>
        <v>46154</v>
      </c>
      <c r="I116" s="32" t="str">
        <f>+TH!L120</f>
        <v>NORMA</v>
      </c>
      <c r="J116" s="31">
        <f>+TH!M120</f>
        <v>0.60416666666666663</v>
      </c>
      <c r="K116" s="31">
        <f>+TH!N120</f>
        <v>0.70833333333333337</v>
      </c>
    </row>
    <row r="117" spans="1:11" x14ac:dyDescent="0.3">
      <c r="A117" s="32">
        <v>40</v>
      </c>
      <c r="B117" s="32">
        <f>+TH!E121</f>
        <v>1038136097</v>
      </c>
      <c r="C117" s="32" t="str">
        <f>+TH!F121</f>
        <v>015</v>
      </c>
      <c r="D117" s="32">
        <f>+TH!G121</f>
        <v>2026</v>
      </c>
      <c r="E117" s="32">
        <f>+TH!H121</f>
        <v>9</v>
      </c>
      <c r="F117" s="32" t="str">
        <f>+TH!I121</f>
        <v>3.0</v>
      </c>
      <c r="G117" s="32" t="str">
        <f>+TH!J121</f>
        <v>D</v>
      </c>
      <c r="H117" s="30">
        <f>+TH!K121</f>
        <v>46154</v>
      </c>
      <c r="I117" s="32" t="str">
        <f>+TH!L121</f>
        <v>NORMA</v>
      </c>
      <c r="J117" s="31">
        <f>+TH!M121</f>
        <v>0.60416666666666663</v>
      </c>
      <c r="K117" s="31">
        <f>+TH!N121</f>
        <v>0.72916666666666663</v>
      </c>
    </row>
    <row r="118" spans="1:11" x14ac:dyDescent="0.3">
      <c r="A118" s="32">
        <v>40</v>
      </c>
      <c r="B118" s="32">
        <f>+TH!E122</f>
        <v>98614587</v>
      </c>
      <c r="C118" s="32" t="str">
        <f>+TH!F122</f>
        <v>010</v>
      </c>
      <c r="D118" s="32">
        <f>+TH!G122</f>
        <v>2026</v>
      </c>
      <c r="E118" s="32">
        <f>+TH!H122</f>
        <v>9</v>
      </c>
      <c r="F118" s="32" t="str">
        <f>+TH!I122</f>
        <v>2.0</v>
      </c>
      <c r="G118" s="32" t="str">
        <f>+TH!J122</f>
        <v>D</v>
      </c>
      <c r="H118" s="30">
        <f>+TH!K122</f>
        <v>46154</v>
      </c>
      <c r="I118" s="32" t="str">
        <f>+TH!L122</f>
        <v>NORMA</v>
      </c>
      <c r="J118" s="31">
        <f>+TH!M122</f>
        <v>0.91666666666666663</v>
      </c>
      <c r="K118" s="31">
        <f>+TH!N122</f>
        <v>0.99930555555555556</v>
      </c>
    </row>
    <row r="119" spans="1:11" x14ac:dyDescent="0.3">
      <c r="A119" s="32">
        <v>40</v>
      </c>
      <c r="B119" s="32">
        <f>+TH!E123</f>
        <v>98614587</v>
      </c>
      <c r="C119" s="32" t="str">
        <f>+TH!F123</f>
        <v>010</v>
      </c>
      <c r="D119" s="32">
        <f>+TH!G123</f>
        <v>2026</v>
      </c>
      <c r="E119" s="32">
        <f>+TH!H123</f>
        <v>9</v>
      </c>
      <c r="F119" s="32" t="str">
        <f>+TH!I123</f>
        <v>6.0</v>
      </c>
      <c r="G119" s="32" t="str">
        <f>+TH!J123</f>
        <v>D</v>
      </c>
      <c r="H119" s="30">
        <f>+TH!K123</f>
        <v>46155</v>
      </c>
      <c r="I119" s="32" t="str">
        <f>+TH!L123</f>
        <v>NORMA</v>
      </c>
      <c r="J119" s="31">
        <f>+TH!M123</f>
        <v>0</v>
      </c>
      <c r="K119" s="31">
        <f>+TH!N123</f>
        <v>0.25</v>
      </c>
    </row>
    <row r="120" spans="1:11" x14ac:dyDescent="0.3">
      <c r="A120" s="32">
        <v>40</v>
      </c>
      <c r="B120" s="32">
        <f>+TH!E124</f>
        <v>78023556</v>
      </c>
      <c r="C120" s="32" t="str">
        <f>+TH!F124</f>
        <v>010</v>
      </c>
      <c r="D120" s="32">
        <f>+TH!G124</f>
        <v>2026</v>
      </c>
      <c r="E120" s="32">
        <f>+TH!H124</f>
        <v>9</v>
      </c>
      <c r="F120" s="32" t="str">
        <f>+TH!I124</f>
        <v>3.0</v>
      </c>
      <c r="G120" s="32" t="str">
        <f>+TH!J124</f>
        <v>D</v>
      </c>
      <c r="H120" s="30">
        <f>+TH!K124</f>
        <v>46154</v>
      </c>
      <c r="I120" s="32" t="str">
        <f>+TH!L124</f>
        <v>NORMA</v>
      </c>
      <c r="J120" s="31">
        <f>+TH!M124</f>
        <v>0.79166666666666663</v>
      </c>
      <c r="K120" s="31">
        <f>+TH!N124</f>
        <v>0.91666666666666663</v>
      </c>
    </row>
    <row r="121" spans="1:11" x14ac:dyDescent="0.3">
      <c r="A121" s="32">
        <v>40</v>
      </c>
      <c r="B121" s="32">
        <f>+TH!E125</f>
        <v>8057310</v>
      </c>
      <c r="C121" s="32" t="str">
        <f>+TH!F125</f>
        <v>010</v>
      </c>
      <c r="D121" s="32">
        <f>+TH!G125</f>
        <v>2026</v>
      </c>
      <c r="E121" s="32">
        <f>+TH!H125</f>
        <v>9</v>
      </c>
      <c r="F121" s="32" t="str">
        <f>+TH!I125</f>
        <v>0.30</v>
      </c>
      <c r="G121" s="32" t="str">
        <f>+TH!J125</f>
        <v>D</v>
      </c>
      <c r="H121" s="30">
        <f>+TH!K125</f>
        <v>46154</v>
      </c>
      <c r="I121" s="32" t="str">
        <f>+TH!L125</f>
        <v>NORMA</v>
      </c>
      <c r="J121" s="31">
        <f>+TH!M125</f>
        <v>0.22916666666666666</v>
      </c>
      <c r="K121" s="31">
        <f>+TH!N125</f>
        <v>0.25</v>
      </c>
    </row>
    <row r="122" spans="1:11" x14ac:dyDescent="0.3">
      <c r="A122" s="32">
        <v>40</v>
      </c>
      <c r="B122" s="32">
        <f>+TH!E126</f>
        <v>8057310</v>
      </c>
      <c r="C122" s="32" t="str">
        <f>+TH!F126</f>
        <v>015</v>
      </c>
      <c r="D122" s="32">
        <f>+TH!G126</f>
        <v>2026</v>
      </c>
      <c r="E122" s="32">
        <f>+TH!H126</f>
        <v>9</v>
      </c>
      <c r="F122" s="32" t="str">
        <f>+TH!I126</f>
        <v>5.0</v>
      </c>
      <c r="G122" s="32" t="str">
        <f>+TH!J126</f>
        <v>D</v>
      </c>
      <c r="H122" s="30">
        <f>+TH!K126</f>
        <v>46154</v>
      </c>
      <c r="I122" s="32" t="str">
        <f>+TH!L126</f>
        <v>NORMA</v>
      </c>
      <c r="J122" s="31">
        <f>+TH!M126</f>
        <v>0.58333333333333337</v>
      </c>
      <c r="K122" s="31">
        <f>+TH!N126</f>
        <v>0.79166666666666663</v>
      </c>
    </row>
    <row r="123" spans="1:11" x14ac:dyDescent="0.3">
      <c r="A123" s="32">
        <v>40</v>
      </c>
      <c r="B123" s="32">
        <f>+TH!E127</f>
        <v>8055765</v>
      </c>
      <c r="C123" s="32" t="str">
        <f>+TH!F127</f>
        <v>010</v>
      </c>
      <c r="D123" s="32">
        <f>+TH!G127</f>
        <v>2026</v>
      </c>
      <c r="E123" s="32">
        <f>+TH!H127</f>
        <v>9</v>
      </c>
      <c r="F123" s="32" t="str">
        <f>+TH!I127</f>
        <v>1.0</v>
      </c>
      <c r="G123" s="32" t="str">
        <f>+TH!J127</f>
        <v>D</v>
      </c>
      <c r="H123" s="30">
        <f>+TH!K127</f>
        <v>46154</v>
      </c>
      <c r="I123" s="32" t="str">
        <f>+TH!L127</f>
        <v>NORMA</v>
      </c>
      <c r="J123" s="31">
        <f>+TH!M127</f>
        <v>0.20833333333333334</v>
      </c>
      <c r="K123" s="31">
        <f>+TH!N127</f>
        <v>0.25</v>
      </c>
    </row>
    <row r="124" spans="1:11" x14ac:dyDescent="0.3">
      <c r="A124" s="32">
        <v>40</v>
      </c>
      <c r="B124" s="32">
        <f>+TH!E128</f>
        <v>8055765</v>
      </c>
      <c r="C124" s="32" t="str">
        <f>+TH!F128</f>
        <v>015</v>
      </c>
      <c r="D124" s="32">
        <f>+TH!G128</f>
        <v>2026</v>
      </c>
      <c r="E124" s="32">
        <f>+TH!H128</f>
        <v>9</v>
      </c>
      <c r="F124" s="32" t="str">
        <f>+TH!I128</f>
        <v>3.30</v>
      </c>
      <c r="G124" s="32" t="str">
        <f>+TH!J128</f>
        <v>D</v>
      </c>
      <c r="H124" s="30">
        <f>+TH!K128</f>
        <v>46154</v>
      </c>
      <c r="I124" s="32" t="str">
        <f>+TH!L128</f>
        <v>NORMA</v>
      </c>
      <c r="J124" s="31">
        <f>+TH!M128</f>
        <v>0.5625</v>
      </c>
      <c r="K124" s="31">
        <f>+TH!N128</f>
        <v>0.70833333333333337</v>
      </c>
    </row>
    <row r="125" spans="1:11" x14ac:dyDescent="0.3">
      <c r="A125" s="32">
        <v>40</v>
      </c>
      <c r="B125" s="32">
        <f>+TH!E129</f>
        <v>1063301292</v>
      </c>
      <c r="C125" s="32" t="str">
        <f>+TH!F129</f>
        <v>010</v>
      </c>
      <c r="D125" s="32">
        <f>+TH!G129</f>
        <v>2026</v>
      </c>
      <c r="E125" s="32">
        <f>+TH!H129</f>
        <v>9</v>
      </c>
      <c r="F125" s="32" t="str">
        <f>+TH!I129</f>
        <v>1.0</v>
      </c>
      <c r="G125" s="32" t="str">
        <f>+TH!J129</f>
        <v>D</v>
      </c>
      <c r="H125" s="30">
        <f>+TH!K129</f>
        <v>46154</v>
      </c>
      <c r="I125" s="32" t="str">
        <f>+TH!L129</f>
        <v>NORMA</v>
      </c>
      <c r="J125" s="31">
        <f>+TH!M129</f>
        <v>0.20833333333333334</v>
      </c>
      <c r="K125" s="31">
        <f>+TH!N129</f>
        <v>0.25</v>
      </c>
    </row>
    <row r="126" spans="1:11" x14ac:dyDescent="0.3">
      <c r="A126" s="32">
        <v>40</v>
      </c>
      <c r="B126" s="32">
        <f>+TH!E130</f>
        <v>1063301292</v>
      </c>
      <c r="C126" s="32" t="str">
        <f>+TH!F130</f>
        <v>015</v>
      </c>
      <c r="D126" s="32">
        <f>+TH!G130</f>
        <v>2026</v>
      </c>
      <c r="E126" s="32">
        <f>+TH!H130</f>
        <v>9</v>
      </c>
      <c r="F126" s="32" t="str">
        <f>+TH!I130</f>
        <v>5.0</v>
      </c>
      <c r="G126" s="32" t="str">
        <f>+TH!J130</f>
        <v>D</v>
      </c>
      <c r="H126" s="30">
        <f>+TH!K130</f>
        <v>46154</v>
      </c>
      <c r="I126" s="32" t="str">
        <f>+TH!L130</f>
        <v>NORMA</v>
      </c>
      <c r="J126" s="31">
        <f>+TH!M130</f>
        <v>0.5625</v>
      </c>
      <c r="K126" s="31">
        <f>+TH!N130</f>
        <v>0.77083333333333337</v>
      </c>
    </row>
    <row r="127" spans="1:11" x14ac:dyDescent="0.3">
      <c r="A127" s="32">
        <v>40</v>
      </c>
      <c r="B127" s="32">
        <f>+TH!E131</f>
        <v>78297379</v>
      </c>
      <c r="C127" s="32" t="str">
        <f>+TH!F131</f>
        <v>010</v>
      </c>
      <c r="D127" s="32">
        <f>+TH!G131</f>
        <v>2026</v>
      </c>
      <c r="E127" s="32">
        <f>+TH!H131</f>
        <v>9</v>
      </c>
      <c r="F127" s="32" t="str">
        <f>+TH!I131</f>
        <v>1.0</v>
      </c>
      <c r="G127" s="32" t="str">
        <f>+TH!J131</f>
        <v>D</v>
      </c>
      <c r="H127" s="30">
        <f>+TH!K131</f>
        <v>46154</v>
      </c>
      <c r="I127" s="32" t="str">
        <f>+TH!L131</f>
        <v>NORMA</v>
      </c>
      <c r="J127" s="31">
        <f>+TH!M131</f>
        <v>0.20833333333333334</v>
      </c>
      <c r="K127" s="31">
        <f>+TH!N131</f>
        <v>0.25</v>
      </c>
    </row>
    <row r="128" spans="1:11" x14ac:dyDescent="0.3">
      <c r="A128" s="32">
        <v>40</v>
      </c>
      <c r="B128" s="32">
        <f>+TH!E132</f>
        <v>78297379</v>
      </c>
      <c r="C128" s="32" t="str">
        <f>+TH!F132</f>
        <v>015</v>
      </c>
      <c r="D128" s="32">
        <f>+TH!G132</f>
        <v>2026</v>
      </c>
      <c r="E128" s="32">
        <f>+TH!H132</f>
        <v>9</v>
      </c>
      <c r="F128" s="32" t="str">
        <f>+TH!I132</f>
        <v>5.0</v>
      </c>
      <c r="G128" s="32" t="str">
        <f>+TH!J132</f>
        <v>D</v>
      </c>
      <c r="H128" s="30">
        <f>+TH!K132</f>
        <v>46154</v>
      </c>
      <c r="I128" s="32" t="str">
        <f>+TH!L132</f>
        <v>NORMA</v>
      </c>
      <c r="J128" s="31">
        <f>+TH!M132</f>
        <v>0.54166666666666663</v>
      </c>
      <c r="K128" s="31">
        <f>+TH!N132</f>
        <v>0.75</v>
      </c>
    </row>
    <row r="129" spans="1:11" x14ac:dyDescent="0.3">
      <c r="A129" s="32">
        <v>40</v>
      </c>
      <c r="B129" s="32">
        <f>+TH!E133</f>
        <v>15611770</v>
      </c>
      <c r="C129" s="32" t="str">
        <f>+TH!F133</f>
        <v>010</v>
      </c>
      <c r="D129" s="32">
        <f>+TH!G133</f>
        <v>2026</v>
      </c>
      <c r="E129" s="32">
        <f>+TH!H133</f>
        <v>9</v>
      </c>
      <c r="F129" s="32" t="str">
        <f>+TH!I133</f>
        <v>1.0</v>
      </c>
      <c r="G129" s="32" t="str">
        <f>+TH!J133</f>
        <v>D</v>
      </c>
      <c r="H129" s="30">
        <f>+TH!K133</f>
        <v>46154</v>
      </c>
      <c r="I129" s="32" t="str">
        <f>+TH!L133</f>
        <v>NORMA</v>
      </c>
      <c r="J129" s="31">
        <f>+TH!M133</f>
        <v>0.20833333333333334</v>
      </c>
      <c r="K129" s="31">
        <f>+TH!N133</f>
        <v>0.25</v>
      </c>
    </row>
    <row r="130" spans="1:11" x14ac:dyDescent="0.3">
      <c r="A130" s="32">
        <v>40</v>
      </c>
      <c r="B130" s="32">
        <f>+TH!E134</f>
        <v>0</v>
      </c>
      <c r="C130" s="32">
        <f>+TH!F134</f>
        <v>0</v>
      </c>
      <c r="D130" s="32">
        <f>+TH!G134</f>
        <v>2026</v>
      </c>
      <c r="E130" s="32">
        <f>+TH!H134</f>
        <v>9</v>
      </c>
      <c r="F130" s="32">
        <f>+TH!I134</f>
        <v>0</v>
      </c>
      <c r="G130" s="32" t="str">
        <f>+TH!J134</f>
        <v>D</v>
      </c>
      <c r="H130" s="30">
        <f>+TH!K134</f>
        <v>46154</v>
      </c>
      <c r="I130" s="32" t="str">
        <f>+TH!L134</f>
        <v>NORMA</v>
      </c>
      <c r="J130" s="31">
        <f>+TH!M134</f>
        <v>0</v>
      </c>
      <c r="K130" s="31">
        <f>+TH!N134</f>
        <v>0</v>
      </c>
    </row>
    <row r="131" spans="1:11" x14ac:dyDescent="0.3">
      <c r="A131" s="32">
        <v>40</v>
      </c>
      <c r="B131" s="32">
        <f>+TH!E135</f>
        <v>0</v>
      </c>
      <c r="C131" s="32">
        <f>+TH!F135</f>
        <v>0</v>
      </c>
      <c r="D131" s="32">
        <f>+TH!G135</f>
        <v>2026</v>
      </c>
      <c r="E131" s="32">
        <f>+TH!H135</f>
        <v>9</v>
      </c>
      <c r="F131" s="32">
        <f>+TH!I135</f>
        <v>0</v>
      </c>
      <c r="G131" s="32" t="str">
        <f>+TH!J135</f>
        <v>D</v>
      </c>
      <c r="H131" s="30">
        <f>+TH!K135</f>
        <v>46154</v>
      </c>
      <c r="I131" s="32" t="str">
        <f>+TH!L135</f>
        <v>NORMA</v>
      </c>
      <c r="J131" s="31">
        <f>+TH!M135</f>
        <v>0</v>
      </c>
      <c r="K131" s="31">
        <f>+TH!N135</f>
        <v>0</v>
      </c>
    </row>
    <row r="132" spans="1:11" x14ac:dyDescent="0.3">
      <c r="A132" s="32">
        <v>40</v>
      </c>
      <c r="B132" s="32">
        <f>+TH!E136</f>
        <v>0</v>
      </c>
      <c r="C132" s="32">
        <f>+TH!F136</f>
        <v>0</v>
      </c>
      <c r="D132" s="32">
        <f>+TH!G136</f>
        <v>2026</v>
      </c>
      <c r="E132" s="32">
        <f>+TH!H136</f>
        <v>9</v>
      </c>
      <c r="F132" s="32">
        <f>+TH!I136</f>
        <v>0</v>
      </c>
      <c r="G132" s="32" t="str">
        <f>+TH!J136</f>
        <v>D</v>
      </c>
      <c r="H132" s="30">
        <f>+TH!K136</f>
        <v>46154</v>
      </c>
      <c r="I132" s="32" t="str">
        <f>+TH!L136</f>
        <v>NORMA</v>
      </c>
      <c r="J132" s="31">
        <f>+TH!M136</f>
        <v>0</v>
      </c>
      <c r="K132" s="31">
        <f>+TH!N136</f>
        <v>0</v>
      </c>
    </row>
    <row r="133" spans="1:11" x14ac:dyDescent="0.3">
      <c r="A133" s="32">
        <v>40</v>
      </c>
      <c r="B133" s="32">
        <f>+TH!E137</f>
        <v>0</v>
      </c>
      <c r="C133" s="32">
        <f>+TH!F137</f>
        <v>0</v>
      </c>
      <c r="D133" s="32">
        <f>+TH!G137</f>
        <v>2026</v>
      </c>
      <c r="E133" s="32">
        <f>+TH!H137</f>
        <v>9</v>
      </c>
      <c r="F133" s="32">
        <f>+TH!I137</f>
        <v>0</v>
      </c>
      <c r="G133" s="32" t="str">
        <f>+TH!J137</f>
        <v>D</v>
      </c>
      <c r="H133" s="30">
        <f>+TH!K137</f>
        <v>46154</v>
      </c>
      <c r="I133" s="32" t="str">
        <f>+TH!L137</f>
        <v>NORMA</v>
      </c>
      <c r="J133" s="31">
        <f>+TH!M137</f>
        <v>0</v>
      </c>
      <c r="K133" s="31">
        <f>+TH!N137</f>
        <v>0</v>
      </c>
    </row>
    <row r="134" spans="1:11" x14ac:dyDescent="0.3">
      <c r="A134" s="32">
        <v>40</v>
      </c>
      <c r="B134" s="32">
        <f>+TH!E138</f>
        <v>0</v>
      </c>
      <c r="C134" s="32">
        <f>+TH!F138</f>
        <v>0</v>
      </c>
      <c r="D134" s="32">
        <f>+TH!G138</f>
        <v>2026</v>
      </c>
      <c r="E134" s="32">
        <f>+TH!H138</f>
        <v>9</v>
      </c>
      <c r="F134" s="32">
        <f>+TH!I138</f>
        <v>0</v>
      </c>
      <c r="G134" s="32" t="str">
        <f>+TH!J138</f>
        <v>D</v>
      </c>
      <c r="H134" s="30">
        <f>+TH!K138</f>
        <v>46154</v>
      </c>
      <c r="I134" s="32" t="str">
        <f>+TH!L138</f>
        <v>NORMA</v>
      </c>
      <c r="J134" s="31">
        <f>+TH!M138</f>
        <v>0</v>
      </c>
      <c r="K134" s="31">
        <f>+TH!N138</f>
        <v>0</v>
      </c>
    </row>
    <row r="135" spans="1:11" x14ac:dyDescent="0.3">
      <c r="A135" s="32">
        <v>40</v>
      </c>
      <c r="B135" s="32">
        <f>+TH!E139</f>
        <v>0</v>
      </c>
      <c r="C135" s="32">
        <f>+TH!F139</f>
        <v>0</v>
      </c>
      <c r="D135" s="32">
        <f>+TH!G139</f>
        <v>2026</v>
      </c>
      <c r="E135" s="32">
        <f>+TH!H139</f>
        <v>9</v>
      </c>
      <c r="F135" s="32">
        <f>+TH!I139</f>
        <v>0</v>
      </c>
      <c r="G135" s="32" t="str">
        <f>+TH!J139</f>
        <v>D</v>
      </c>
      <c r="H135" s="30">
        <f>+TH!K139</f>
        <v>46154</v>
      </c>
      <c r="I135" s="32" t="str">
        <f>+TH!L139</f>
        <v>NORMA</v>
      </c>
      <c r="J135" s="31">
        <f>+TH!M139</f>
        <v>0</v>
      </c>
      <c r="K135" s="31">
        <f>+TH!N139</f>
        <v>0</v>
      </c>
    </row>
    <row r="136" spans="1:11" x14ac:dyDescent="0.3">
      <c r="A136" s="32">
        <v>40</v>
      </c>
      <c r="B136" s="32">
        <f>+TH!E140</f>
        <v>0</v>
      </c>
      <c r="C136" s="32">
        <f>+TH!F140</f>
        <v>0</v>
      </c>
      <c r="D136" s="32">
        <f>+TH!G140</f>
        <v>2026</v>
      </c>
      <c r="E136" s="32">
        <f>+TH!H140</f>
        <v>9</v>
      </c>
      <c r="F136" s="32">
        <f>+TH!I140</f>
        <v>0</v>
      </c>
      <c r="G136" s="32" t="str">
        <f>+TH!J140</f>
        <v>D</v>
      </c>
      <c r="H136" s="30">
        <f>+TH!K140</f>
        <v>46154</v>
      </c>
      <c r="I136" s="32" t="str">
        <f>+TH!L140</f>
        <v>NORMA</v>
      </c>
      <c r="J136" s="31">
        <f>+TH!M140</f>
        <v>0</v>
      </c>
      <c r="K136" s="31">
        <f>+TH!N140</f>
        <v>0</v>
      </c>
    </row>
    <row r="137" spans="1:11" x14ac:dyDescent="0.3">
      <c r="A137" s="32">
        <v>40</v>
      </c>
      <c r="B137" s="32">
        <f>+TH!E141</f>
        <v>0</v>
      </c>
      <c r="C137" s="32">
        <f>+TH!F141</f>
        <v>0</v>
      </c>
      <c r="D137" s="32">
        <f>+TH!G141</f>
        <v>2026</v>
      </c>
      <c r="E137" s="32">
        <f>+TH!H141</f>
        <v>9</v>
      </c>
      <c r="F137" s="32">
        <f>+TH!I141</f>
        <v>0</v>
      </c>
      <c r="G137" s="32" t="str">
        <f>+TH!J141</f>
        <v>D</v>
      </c>
      <c r="H137" s="30">
        <f>+TH!K141</f>
        <v>46154</v>
      </c>
      <c r="I137" s="32" t="str">
        <f>+TH!L141</f>
        <v>NORMA</v>
      </c>
      <c r="J137" s="31">
        <f>+TH!M141</f>
        <v>0</v>
      </c>
      <c r="K137" s="31">
        <f>+TH!N141</f>
        <v>0</v>
      </c>
    </row>
    <row r="138" spans="1:11" x14ac:dyDescent="0.3">
      <c r="A138" s="32">
        <v>40</v>
      </c>
      <c r="B138" s="32">
        <f>+TH!E142</f>
        <v>0</v>
      </c>
      <c r="C138" s="32">
        <f>+TH!F142</f>
        <v>0</v>
      </c>
      <c r="D138" s="32">
        <f>+TH!G142</f>
        <v>2026</v>
      </c>
      <c r="E138" s="32">
        <f>+TH!H142</f>
        <v>9</v>
      </c>
      <c r="F138" s="32">
        <f>+TH!I142</f>
        <v>0</v>
      </c>
      <c r="G138" s="32" t="str">
        <f>+TH!J142</f>
        <v>D</v>
      </c>
      <c r="H138" s="30">
        <f>+TH!K142</f>
        <v>46154</v>
      </c>
      <c r="I138" s="32" t="str">
        <f>+TH!L142</f>
        <v>NORMA</v>
      </c>
      <c r="J138" s="31">
        <f>+TH!M142</f>
        <v>0</v>
      </c>
      <c r="K138" s="31">
        <f>+TH!N142</f>
        <v>0</v>
      </c>
    </row>
    <row r="139" spans="1:11" x14ac:dyDescent="0.3">
      <c r="A139" s="32">
        <v>40</v>
      </c>
      <c r="B139" s="32">
        <f>+TH!E143</f>
        <v>0</v>
      </c>
      <c r="C139" s="32">
        <f>+TH!F143</f>
        <v>0</v>
      </c>
      <c r="D139" s="32">
        <f>+TH!G143</f>
        <v>2026</v>
      </c>
      <c r="E139" s="32">
        <f>+TH!H143</f>
        <v>9</v>
      </c>
      <c r="F139" s="32">
        <f>+TH!I143</f>
        <v>0</v>
      </c>
      <c r="G139" s="32" t="str">
        <f>+TH!J143</f>
        <v>D</v>
      </c>
      <c r="H139" s="30">
        <f>+TH!K143</f>
        <v>46154</v>
      </c>
      <c r="I139" s="32" t="str">
        <f>+TH!L143</f>
        <v>NORMA</v>
      </c>
      <c r="J139" s="31">
        <f>+TH!M143</f>
        <v>0</v>
      </c>
      <c r="K139" s="31">
        <f>+TH!N143</f>
        <v>0</v>
      </c>
    </row>
    <row r="140" spans="1:11" x14ac:dyDescent="0.3">
      <c r="A140" s="32">
        <v>40</v>
      </c>
      <c r="B140" s="32">
        <f>+TH!E144</f>
        <v>0</v>
      </c>
      <c r="C140" s="32">
        <f>+TH!F144</f>
        <v>0</v>
      </c>
      <c r="D140" s="32">
        <f>+TH!G144</f>
        <v>2026</v>
      </c>
      <c r="E140" s="32">
        <f>+TH!H144</f>
        <v>9</v>
      </c>
      <c r="F140" s="32">
        <f>+TH!I144</f>
        <v>0</v>
      </c>
      <c r="G140" s="32" t="str">
        <f>+TH!J144</f>
        <v>D</v>
      </c>
      <c r="H140" s="30">
        <f>+TH!K144</f>
        <v>46154</v>
      </c>
      <c r="I140" s="32" t="str">
        <f>+TH!L144</f>
        <v>NORMA</v>
      </c>
      <c r="J140" s="31">
        <f>+TH!M144</f>
        <v>0</v>
      </c>
      <c r="K140" s="31">
        <f>+TH!N144</f>
        <v>0</v>
      </c>
    </row>
    <row r="141" spans="1:11" x14ac:dyDescent="0.3">
      <c r="A141" s="32">
        <v>40</v>
      </c>
      <c r="B141" s="32">
        <f>+TH!E145</f>
        <v>0</v>
      </c>
      <c r="C141" s="32">
        <f>+TH!F145</f>
        <v>0</v>
      </c>
      <c r="D141" s="32">
        <f>+TH!G145</f>
        <v>2026</v>
      </c>
      <c r="E141" s="32">
        <f>+TH!H145</f>
        <v>9</v>
      </c>
      <c r="F141" s="32">
        <f>+TH!I145</f>
        <v>0</v>
      </c>
      <c r="G141" s="32" t="str">
        <f>+TH!J145</f>
        <v>D</v>
      </c>
      <c r="H141" s="30">
        <f>+TH!K145</f>
        <v>46154</v>
      </c>
      <c r="I141" s="32" t="str">
        <f>+TH!L145</f>
        <v>NORMA</v>
      </c>
      <c r="J141" s="31">
        <f>+TH!M145</f>
        <v>0</v>
      </c>
      <c r="K141" s="31">
        <f>+TH!N145</f>
        <v>0</v>
      </c>
    </row>
    <row r="142" spans="1:11" x14ac:dyDescent="0.3">
      <c r="A142" s="32">
        <v>40</v>
      </c>
      <c r="B142" s="32">
        <f>+TH!E146</f>
        <v>0</v>
      </c>
      <c r="C142" s="32">
        <f>+TH!F146</f>
        <v>0</v>
      </c>
      <c r="D142" s="32">
        <f>+TH!G146</f>
        <v>2026</v>
      </c>
      <c r="E142" s="32">
        <f>+TH!H146</f>
        <v>9</v>
      </c>
      <c r="F142" s="32">
        <f>+TH!I146</f>
        <v>0</v>
      </c>
      <c r="G142" s="32" t="str">
        <f>+TH!J146</f>
        <v>D</v>
      </c>
      <c r="H142" s="30">
        <f>+TH!K146</f>
        <v>46154</v>
      </c>
      <c r="I142" s="32" t="str">
        <f>+TH!L146</f>
        <v>NORMA</v>
      </c>
      <c r="J142" s="31">
        <f>+TH!M146</f>
        <v>0</v>
      </c>
      <c r="K142" s="31">
        <f>+TH!N146</f>
        <v>0</v>
      </c>
    </row>
    <row r="143" spans="1:11" x14ac:dyDescent="0.3">
      <c r="A143" s="32">
        <v>40</v>
      </c>
      <c r="B143" s="32">
        <f>+TH!E147</f>
        <v>0</v>
      </c>
      <c r="C143" s="32">
        <f>+TH!F147</f>
        <v>0</v>
      </c>
      <c r="D143" s="32">
        <f>+TH!G147</f>
        <v>2026</v>
      </c>
      <c r="E143" s="32">
        <f>+TH!H147</f>
        <v>9</v>
      </c>
      <c r="F143" s="32">
        <f>+TH!I147</f>
        <v>0</v>
      </c>
      <c r="G143" s="32" t="str">
        <f>+TH!J147</f>
        <v>D</v>
      </c>
      <c r="H143" s="30">
        <f>+TH!K147</f>
        <v>46154</v>
      </c>
      <c r="I143" s="32" t="str">
        <f>+TH!L147</f>
        <v>NORMA</v>
      </c>
      <c r="J143" s="31">
        <f>+TH!M147</f>
        <v>0</v>
      </c>
      <c r="K143" s="31">
        <f>+TH!N147</f>
        <v>0</v>
      </c>
    </row>
    <row r="144" spans="1:11" x14ac:dyDescent="0.3">
      <c r="A144" s="32">
        <v>40</v>
      </c>
      <c r="B144" s="32">
        <f>+TH!E148</f>
        <v>0</v>
      </c>
      <c r="C144" s="32">
        <f>+TH!F148</f>
        <v>0</v>
      </c>
      <c r="D144" s="32">
        <f>+TH!G148</f>
        <v>2026</v>
      </c>
      <c r="E144" s="32">
        <f>+TH!H148</f>
        <v>9</v>
      </c>
      <c r="F144" s="32">
        <f>+TH!I148</f>
        <v>0</v>
      </c>
      <c r="G144" s="32" t="str">
        <f>+TH!J148</f>
        <v>D</v>
      </c>
      <c r="H144" s="30">
        <f>+TH!K148</f>
        <v>46154</v>
      </c>
      <c r="I144" s="32" t="str">
        <f>+TH!L148</f>
        <v>NORMA</v>
      </c>
      <c r="J144" s="31">
        <f>+TH!M148</f>
        <v>0</v>
      </c>
      <c r="K144" s="31">
        <f>+TH!N148</f>
        <v>0</v>
      </c>
    </row>
    <row r="145" spans="1:11" x14ac:dyDescent="0.3">
      <c r="A145" s="32">
        <v>40</v>
      </c>
      <c r="B145" s="32">
        <f>+TH!E149</f>
        <v>0</v>
      </c>
      <c r="C145" s="32">
        <f>+TH!F149</f>
        <v>0</v>
      </c>
      <c r="D145" s="32">
        <f>+TH!G149</f>
        <v>2026</v>
      </c>
      <c r="E145" s="32">
        <f>+TH!H149</f>
        <v>9</v>
      </c>
      <c r="F145" s="32">
        <f>+TH!I149</f>
        <v>0</v>
      </c>
      <c r="G145" s="32" t="str">
        <f>+TH!J149</f>
        <v>D</v>
      </c>
      <c r="H145" s="30">
        <f>+TH!K149</f>
        <v>46154</v>
      </c>
      <c r="I145" s="32" t="str">
        <f>+TH!L149</f>
        <v>NORMA</v>
      </c>
      <c r="J145" s="31">
        <f>+TH!M149</f>
        <v>0</v>
      </c>
      <c r="K145" s="31">
        <f>+TH!N149</f>
        <v>0</v>
      </c>
    </row>
    <row r="146" spans="1:11" x14ac:dyDescent="0.3">
      <c r="A146" s="32">
        <v>40</v>
      </c>
      <c r="B146" s="32">
        <f>+TH!E150</f>
        <v>0</v>
      </c>
      <c r="C146" s="32">
        <f>+TH!F150</f>
        <v>0</v>
      </c>
      <c r="D146" s="32">
        <f>+TH!G150</f>
        <v>2026</v>
      </c>
      <c r="E146" s="32">
        <f>+TH!H150</f>
        <v>9</v>
      </c>
      <c r="F146" s="32">
        <f>+TH!I150</f>
        <v>0</v>
      </c>
      <c r="G146" s="32" t="str">
        <f>+TH!J150</f>
        <v>D</v>
      </c>
      <c r="H146" s="30">
        <f>+TH!K150</f>
        <v>46154</v>
      </c>
      <c r="I146" s="32" t="str">
        <f>+TH!L150</f>
        <v>NORMA</v>
      </c>
      <c r="J146" s="31">
        <f>+TH!M150</f>
        <v>0</v>
      </c>
      <c r="K146" s="31">
        <f>+TH!N150</f>
        <v>0</v>
      </c>
    </row>
    <row r="147" spans="1:11" x14ac:dyDescent="0.3">
      <c r="A147" s="32">
        <v>40</v>
      </c>
      <c r="B147" s="32">
        <f>+TH!E151</f>
        <v>0</v>
      </c>
      <c r="C147" s="32">
        <f>+TH!F151</f>
        <v>0</v>
      </c>
      <c r="D147" s="32">
        <f>+TH!G151</f>
        <v>2026</v>
      </c>
      <c r="E147" s="32">
        <f>+TH!H151</f>
        <v>9</v>
      </c>
      <c r="F147" s="32">
        <f>+TH!I151</f>
        <v>0</v>
      </c>
      <c r="G147" s="32" t="str">
        <f>+TH!J151</f>
        <v>D</v>
      </c>
      <c r="H147" s="30">
        <f>+TH!K151</f>
        <v>46154</v>
      </c>
      <c r="I147" s="32" t="str">
        <f>+TH!L151</f>
        <v>NORMA</v>
      </c>
      <c r="J147" s="31">
        <f>+TH!M151</f>
        <v>0</v>
      </c>
      <c r="K147" s="31">
        <f>+TH!N151</f>
        <v>0</v>
      </c>
    </row>
    <row r="148" spans="1:11" x14ac:dyDescent="0.3">
      <c r="A148" s="32">
        <v>40</v>
      </c>
      <c r="B148" s="32">
        <f>+TH!E152</f>
        <v>0</v>
      </c>
      <c r="C148" s="32">
        <f>+TH!F152</f>
        <v>0</v>
      </c>
      <c r="D148" s="32">
        <f>+TH!G152</f>
        <v>2026</v>
      </c>
      <c r="E148" s="32">
        <f>+TH!H152</f>
        <v>9</v>
      </c>
      <c r="F148" s="32">
        <f>+TH!I152</f>
        <v>0</v>
      </c>
      <c r="G148" s="32" t="str">
        <f>+TH!J152</f>
        <v>D</v>
      </c>
      <c r="H148" s="30">
        <f>+TH!K152</f>
        <v>46154</v>
      </c>
      <c r="I148" s="32" t="str">
        <f>+TH!L152</f>
        <v>NORMA</v>
      </c>
      <c r="J148" s="31">
        <f>+TH!M152</f>
        <v>0</v>
      </c>
      <c r="K148" s="31">
        <f>+TH!N152</f>
        <v>0</v>
      </c>
    </row>
    <row r="149" spans="1:11" x14ac:dyDescent="0.3">
      <c r="A149" s="32">
        <v>40</v>
      </c>
      <c r="B149" s="32">
        <f>+TH!E153</f>
        <v>0</v>
      </c>
      <c r="C149" s="32">
        <f>+TH!F153</f>
        <v>0</v>
      </c>
      <c r="D149" s="32">
        <f>+TH!G153</f>
        <v>2026</v>
      </c>
      <c r="E149" s="32">
        <f>+TH!H153</f>
        <v>9</v>
      </c>
      <c r="F149" s="32">
        <f>+TH!I153</f>
        <v>0</v>
      </c>
      <c r="G149" s="32" t="str">
        <f>+TH!J153</f>
        <v>D</v>
      </c>
      <c r="H149" s="30">
        <f>+TH!K153</f>
        <v>46154</v>
      </c>
      <c r="I149" s="32" t="str">
        <f>+TH!L153</f>
        <v>NORMA</v>
      </c>
      <c r="J149" s="31">
        <f>+TH!M153</f>
        <v>0</v>
      </c>
      <c r="K149" s="31">
        <f>+TH!N153</f>
        <v>0</v>
      </c>
    </row>
    <row r="150" spans="1:11" x14ac:dyDescent="0.3">
      <c r="A150" s="32">
        <v>40</v>
      </c>
      <c r="B150" s="32">
        <f>+TH!E154</f>
        <v>0</v>
      </c>
      <c r="C150" s="32">
        <f>+TH!F154</f>
        <v>0</v>
      </c>
      <c r="D150" s="32">
        <f>+TH!G154</f>
        <v>2026</v>
      </c>
      <c r="E150" s="32">
        <f>+TH!H154</f>
        <v>9</v>
      </c>
      <c r="F150" s="32">
        <f>+TH!I154</f>
        <v>0</v>
      </c>
      <c r="G150" s="32" t="str">
        <f>+TH!J154</f>
        <v>D</v>
      </c>
      <c r="H150" s="30">
        <f>+TH!K154</f>
        <v>46154</v>
      </c>
      <c r="I150" s="32" t="str">
        <f>+TH!L154</f>
        <v>NORMA</v>
      </c>
      <c r="J150" s="31">
        <f>+TH!M154</f>
        <v>0</v>
      </c>
      <c r="K150" s="31">
        <f>+TH!N154</f>
        <v>0</v>
      </c>
    </row>
    <row r="151" spans="1:11" x14ac:dyDescent="0.3">
      <c r="A151" s="32">
        <v>40</v>
      </c>
      <c r="B151" s="32">
        <f>+TH!E155</f>
        <v>0</v>
      </c>
      <c r="C151" s="32">
        <f>+TH!F155</f>
        <v>0</v>
      </c>
      <c r="D151" s="32">
        <f>+TH!G155</f>
        <v>2026</v>
      </c>
      <c r="E151" s="32">
        <f>+TH!H155</f>
        <v>9</v>
      </c>
      <c r="F151" s="32">
        <f>+TH!I155</f>
        <v>0</v>
      </c>
      <c r="G151" s="32" t="str">
        <f>+TH!J155</f>
        <v>D</v>
      </c>
      <c r="H151" s="30">
        <f>+TH!K155</f>
        <v>46154</v>
      </c>
      <c r="I151" s="32" t="str">
        <f>+TH!L155</f>
        <v>NORMA</v>
      </c>
      <c r="J151" s="31">
        <f>+TH!M155</f>
        <v>0</v>
      </c>
      <c r="K151" s="31">
        <f>+TH!N155</f>
        <v>0</v>
      </c>
    </row>
    <row r="152" spans="1:11" x14ac:dyDescent="0.3">
      <c r="A152" s="32">
        <v>40</v>
      </c>
      <c r="B152" s="32">
        <f>+TH!E156</f>
        <v>0</v>
      </c>
      <c r="C152" s="32">
        <f>+TH!F156</f>
        <v>0</v>
      </c>
      <c r="D152" s="32">
        <f>+TH!G156</f>
        <v>2026</v>
      </c>
      <c r="E152" s="32">
        <f>+TH!H156</f>
        <v>9</v>
      </c>
      <c r="F152" s="32">
        <f>+TH!I156</f>
        <v>0</v>
      </c>
      <c r="G152" s="32" t="str">
        <f>+TH!J156</f>
        <v>D</v>
      </c>
      <c r="H152" s="30">
        <f>+TH!K156</f>
        <v>46154</v>
      </c>
      <c r="I152" s="32" t="str">
        <f>+TH!L156</f>
        <v>NORMA</v>
      </c>
      <c r="J152" s="31">
        <f>+TH!M156</f>
        <v>0</v>
      </c>
      <c r="K152" s="31">
        <f>+TH!N156</f>
        <v>0</v>
      </c>
    </row>
    <row r="153" spans="1:11" x14ac:dyDescent="0.3">
      <c r="A153" s="32">
        <v>40</v>
      </c>
      <c r="B153" s="32">
        <f>+TH!E157</f>
        <v>0</v>
      </c>
      <c r="C153" s="32">
        <f>+TH!F157</f>
        <v>0</v>
      </c>
      <c r="D153" s="32">
        <f>+TH!G157</f>
        <v>2026</v>
      </c>
      <c r="E153" s="32">
        <f>+TH!H157</f>
        <v>9</v>
      </c>
      <c r="F153" s="32">
        <f>+TH!I157</f>
        <v>0</v>
      </c>
      <c r="G153" s="32" t="str">
        <f>+TH!J157</f>
        <v>D</v>
      </c>
      <c r="H153" s="30">
        <f>+TH!K157</f>
        <v>46154</v>
      </c>
      <c r="I153" s="32" t="str">
        <f>+TH!L157</f>
        <v>NORMA</v>
      </c>
      <c r="J153" s="31">
        <f>+TH!M157</f>
        <v>0</v>
      </c>
      <c r="K153" s="31">
        <f>+TH!N157</f>
        <v>0</v>
      </c>
    </row>
    <row r="154" spans="1:11" x14ac:dyDescent="0.3">
      <c r="A154" s="32">
        <v>40</v>
      </c>
      <c r="B154" s="32">
        <f>+TH!E158</f>
        <v>0</v>
      </c>
      <c r="C154" s="32">
        <f>+TH!F158</f>
        <v>0</v>
      </c>
      <c r="D154" s="32">
        <f>+TH!G158</f>
        <v>2026</v>
      </c>
      <c r="E154" s="32">
        <f>+TH!H158</f>
        <v>9</v>
      </c>
      <c r="F154" s="32">
        <f>+TH!I158</f>
        <v>0</v>
      </c>
      <c r="G154" s="32" t="str">
        <f>+TH!J158</f>
        <v>D</v>
      </c>
      <c r="H154" s="30">
        <f>+TH!K158</f>
        <v>46154</v>
      </c>
      <c r="I154" s="32" t="str">
        <f>+TH!L158</f>
        <v>NORMA</v>
      </c>
      <c r="J154" s="31">
        <f>+TH!M158</f>
        <v>0</v>
      </c>
      <c r="K154" s="31">
        <f>+TH!N158</f>
        <v>0</v>
      </c>
    </row>
    <row r="155" spans="1:11" x14ac:dyDescent="0.3">
      <c r="A155" s="32">
        <v>40</v>
      </c>
      <c r="B155" s="32">
        <f>+TH!E159</f>
        <v>0</v>
      </c>
      <c r="C155" s="32">
        <f>+TH!F159</f>
        <v>0</v>
      </c>
      <c r="D155" s="32">
        <f>+TH!G159</f>
        <v>2026</v>
      </c>
      <c r="E155" s="32">
        <f>+TH!H159</f>
        <v>9</v>
      </c>
      <c r="F155" s="32">
        <f>+TH!I159</f>
        <v>0</v>
      </c>
      <c r="G155" s="32" t="str">
        <f>+TH!J159</f>
        <v>D</v>
      </c>
      <c r="H155" s="30">
        <f>+TH!K159</f>
        <v>46154</v>
      </c>
      <c r="I155" s="32" t="str">
        <f>+TH!L159</f>
        <v>NORMA</v>
      </c>
      <c r="J155" s="31">
        <f>+TH!M159</f>
        <v>0</v>
      </c>
      <c r="K155" s="31">
        <f>+TH!N159</f>
        <v>0</v>
      </c>
    </row>
    <row r="156" spans="1:11" x14ac:dyDescent="0.3">
      <c r="A156" s="32">
        <v>40</v>
      </c>
      <c r="B156" s="32">
        <f>+TH!E160</f>
        <v>0</v>
      </c>
      <c r="C156" s="32">
        <f>+TH!F160</f>
        <v>0</v>
      </c>
      <c r="D156" s="32">
        <f>+TH!G160</f>
        <v>2026</v>
      </c>
      <c r="E156" s="32">
        <f>+TH!H160</f>
        <v>9</v>
      </c>
      <c r="F156" s="32">
        <f>+TH!I160</f>
        <v>0</v>
      </c>
      <c r="G156" s="32" t="str">
        <f>+TH!J160</f>
        <v>D</v>
      </c>
      <c r="H156" s="30">
        <f>+TH!K160</f>
        <v>46154</v>
      </c>
      <c r="I156" s="32" t="str">
        <f>+TH!L160</f>
        <v>NORMA</v>
      </c>
      <c r="J156" s="31">
        <f>+TH!M160</f>
        <v>0</v>
      </c>
      <c r="K156" s="31">
        <f>+TH!N160</f>
        <v>0</v>
      </c>
    </row>
    <row r="157" spans="1:11" x14ac:dyDescent="0.3">
      <c r="A157" s="32">
        <v>40</v>
      </c>
      <c r="B157" s="32">
        <f>+TH!E161</f>
        <v>0</v>
      </c>
      <c r="C157" s="32">
        <f>+TH!F161</f>
        <v>0</v>
      </c>
      <c r="D157" s="32">
        <f>+TH!G161</f>
        <v>2026</v>
      </c>
      <c r="E157" s="32">
        <f>+TH!H161</f>
        <v>9</v>
      </c>
      <c r="F157" s="32">
        <f>+TH!I161</f>
        <v>0</v>
      </c>
      <c r="G157" s="32" t="str">
        <f>+TH!J161</f>
        <v>D</v>
      </c>
      <c r="H157" s="30">
        <f>+TH!K161</f>
        <v>46154</v>
      </c>
      <c r="I157" s="32" t="str">
        <f>+TH!L161</f>
        <v>NORMA</v>
      </c>
      <c r="J157" s="31">
        <f>+TH!M161</f>
        <v>0</v>
      </c>
      <c r="K157" s="31">
        <f>+TH!N161</f>
        <v>0</v>
      </c>
    </row>
    <row r="158" spans="1:11" x14ac:dyDescent="0.3">
      <c r="A158" s="32">
        <v>40</v>
      </c>
      <c r="B158" s="32">
        <f>+TH!E162</f>
        <v>0</v>
      </c>
      <c r="C158" s="32">
        <f>+TH!F162</f>
        <v>0</v>
      </c>
      <c r="D158" s="32">
        <f>+TH!G162</f>
        <v>2026</v>
      </c>
      <c r="E158" s="32">
        <f>+TH!H162</f>
        <v>9</v>
      </c>
      <c r="F158" s="32">
        <f>+TH!I162</f>
        <v>0</v>
      </c>
      <c r="G158" s="32" t="str">
        <f>+TH!J162</f>
        <v>D</v>
      </c>
      <c r="H158" s="30">
        <f>+TH!K162</f>
        <v>46154</v>
      </c>
      <c r="I158" s="32" t="str">
        <f>+TH!L162</f>
        <v>NORMA</v>
      </c>
      <c r="J158" s="31">
        <f>+TH!M162</f>
        <v>0</v>
      </c>
      <c r="K158" s="31">
        <f>+TH!N162</f>
        <v>0</v>
      </c>
    </row>
    <row r="159" spans="1:11" x14ac:dyDescent="0.3">
      <c r="A159" s="32">
        <v>40</v>
      </c>
      <c r="B159" s="32">
        <f>+TH!E163</f>
        <v>0</v>
      </c>
      <c r="C159" s="32">
        <f>+TH!F163</f>
        <v>0</v>
      </c>
      <c r="D159" s="32">
        <f>+TH!G163</f>
        <v>2026</v>
      </c>
      <c r="E159" s="32">
        <f>+TH!H163</f>
        <v>9</v>
      </c>
      <c r="F159" s="32">
        <f>+TH!I163</f>
        <v>0</v>
      </c>
      <c r="G159" s="32" t="str">
        <f>+TH!J163</f>
        <v>D</v>
      </c>
      <c r="H159" s="30">
        <f>+TH!K163</f>
        <v>46154</v>
      </c>
      <c r="I159" s="32" t="str">
        <f>+TH!L163</f>
        <v>NORMA</v>
      </c>
      <c r="J159" s="31">
        <f>+TH!M163</f>
        <v>0</v>
      </c>
      <c r="K159" s="31">
        <f>+TH!N163</f>
        <v>0</v>
      </c>
    </row>
    <row r="160" spans="1:11" x14ac:dyDescent="0.3">
      <c r="A160" s="32">
        <v>40</v>
      </c>
      <c r="B160" s="32">
        <f>+TH!E164</f>
        <v>0</v>
      </c>
      <c r="C160" s="32">
        <f>+TH!F164</f>
        <v>0</v>
      </c>
      <c r="D160" s="32">
        <f>+TH!G164</f>
        <v>2026</v>
      </c>
      <c r="E160" s="32">
        <f>+TH!H164</f>
        <v>9</v>
      </c>
      <c r="F160" s="32">
        <f>+TH!I164</f>
        <v>0</v>
      </c>
      <c r="G160" s="32" t="str">
        <f>+TH!J164</f>
        <v>D</v>
      </c>
      <c r="H160" s="30">
        <f>+TH!K164</f>
        <v>46154</v>
      </c>
      <c r="I160" s="32" t="str">
        <f>+TH!L164</f>
        <v>NORMA</v>
      </c>
      <c r="J160" s="31">
        <f>+TH!M164</f>
        <v>0</v>
      </c>
      <c r="K160" s="31">
        <f>+TH!N164</f>
        <v>0</v>
      </c>
    </row>
    <row r="161" spans="1:11" x14ac:dyDescent="0.3">
      <c r="A161" s="32">
        <v>40</v>
      </c>
      <c r="B161" s="32">
        <f>+TH!E165</f>
        <v>0</v>
      </c>
      <c r="C161" s="32">
        <f>+TH!F165</f>
        <v>0</v>
      </c>
      <c r="D161" s="32">
        <f>+TH!G165</f>
        <v>2026</v>
      </c>
      <c r="E161" s="32">
        <f>+TH!H165</f>
        <v>9</v>
      </c>
      <c r="F161" s="32">
        <f>+TH!I165</f>
        <v>0</v>
      </c>
      <c r="G161" s="32" t="str">
        <f>+TH!J165</f>
        <v>D</v>
      </c>
      <c r="H161" s="30">
        <f>+TH!K165</f>
        <v>46154</v>
      </c>
      <c r="I161" s="32" t="str">
        <f>+TH!L165</f>
        <v>NORMA</v>
      </c>
      <c r="J161" s="31">
        <f>+TH!M165</f>
        <v>0</v>
      </c>
      <c r="K161" s="31">
        <f>+TH!N165</f>
        <v>0</v>
      </c>
    </row>
    <row r="162" spans="1:11" x14ac:dyDescent="0.3">
      <c r="A162" s="32">
        <v>40</v>
      </c>
      <c r="B162" s="32">
        <f>+TH!E166</f>
        <v>0</v>
      </c>
      <c r="C162" s="32">
        <f>+TH!F166</f>
        <v>0</v>
      </c>
      <c r="D162" s="32">
        <f>+TH!G166</f>
        <v>2026</v>
      </c>
      <c r="E162" s="32">
        <f>+TH!H166</f>
        <v>9</v>
      </c>
      <c r="F162" s="32">
        <f>+TH!I166</f>
        <v>0</v>
      </c>
      <c r="G162" s="32" t="str">
        <f>+TH!J166</f>
        <v>D</v>
      </c>
      <c r="H162" s="30">
        <f>+TH!K166</f>
        <v>46154</v>
      </c>
      <c r="I162" s="32" t="str">
        <f>+TH!L166</f>
        <v>NORMA</v>
      </c>
      <c r="J162" s="31">
        <f>+TH!M166</f>
        <v>0</v>
      </c>
      <c r="K162" s="31">
        <f>+TH!N166</f>
        <v>0</v>
      </c>
    </row>
    <row r="163" spans="1:11" x14ac:dyDescent="0.3">
      <c r="A163" s="32">
        <v>40</v>
      </c>
      <c r="B163" s="32">
        <f>+TH!E167</f>
        <v>0</v>
      </c>
      <c r="C163" s="32">
        <f>+TH!F167</f>
        <v>0</v>
      </c>
      <c r="D163" s="32">
        <f>+TH!G167</f>
        <v>2026</v>
      </c>
      <c r="E163" s="32">
        <f>+TH!H167</f>
        <v>9</v>
      </c>
      <c r="F163" s="32">
        <f>+TH!I167</f>
        <v>0</v>
      </c>
      <c r="G163" s="32" t="str">
        <f>+TH!J167</f>
        <v>D</v>
      </c>
      <c r="H163" s="30">
        <f>+TH!K167</f>
        <v>46154</v>
      </c>
      <c r="I163" s="32" t="str">
        <f>+TH!L167</f>
        <v>NORMA</v>
      </c>
      <c r="J163" s="31">
        <f>+TH!M167</f>
        <v>0</v>
      </c>
      <c r="K163" s="31">
        <f>+TH!N167</f>
        <v>0</v>
      </c>
    </row>
    <row r="164" spans="1:11" x14ac:dyDescent="0.3">
      <c r="A164" s="32">
        <v>40</v>
      </c>
      <c r="B164" s="32">
        <f>+TH!E168</f>
        <v>0</v>
      </c>
      <c r="C164" s="32">
        <f>+TH!F168</f>
        <v>0</v>
      </c>
      <c r="D164" s="32">
        <f>+TH!G168</f>
        <v>2026</v>
      </c>
      <c r="E164" s="32">
        <f>+TH!H168</f>
        <v>9</v>
      </c>
      <c r="F164" s="32">
        <f>+TH!I168</f>
        <v>0</v>
      </c>
      <c r="G164" s="32" t="str">
        <f>+TH!J168</f>
        <v>D</v>
      </c>
      <c r="H164" s="30">
        <f>+TH!K168</f>
        <v>46154</v>
      </c>
      <c r="I164" s="32" t="str">
        <f>+TH!L168</f>
        <v>NORMA</v>
      </c>
      <c r="J164" s="31">
        <f>+TH!M168</f>
        <v>0</v>
      </c>
      <c r="K164" s="31">
        <f>+TH!N168</f>
        <v>0</v>
      </c>
    </row>
    <row r="165" spans="1:11" x14ac:dyDescent="0.3">
      <c r="A165" s="32">
        <v>40</v>
      </c>
      <c r="B165" s="32">
        <f>+TH!E169</f>
        <v>0</v>
      </c>
      <c r="C165" s="32">
        <f>+TH!F169</f>
        <v>0</v>
      </c>
      <c r="D165" s="32">
        <f>+TH!G169</f>
        <v>2026</v>
      </c>
      <c r="E165" s="32">
        <f>+TH!H169</f>
        <v>9</v>
      </c>
      <c r="F165" s="32">
        <f>+TH!I169</f>
        <v>0</v>
      </c>
      <c r="G165" s="32" t="str">
        <f>+TH!J169</f>
        <v>D</v>
      </c>
      <c r="H165" s="30">
        <f>+TH!K169</f>
        <v>46154</v>
      </c>
      <c r="I165" s="32" t="str">
        <f>+TH!L169</f>
        <v>NORMA</v>
      </c>
      <c r="J165" s="31">
        <f>+TH!M169</f>
        <v>0</v>
      </c>
      <c r="K165" s="31">
        <f>+TH!N169</f>
        <v>0</v>
      </c>
    </row>
    <row r="166" spans="1:11" x14ac:dyDescent="0.3">
      <c r="A166" s="32">
        <v>40</v>
      </c>
      <c r="B166" s="32">
        <f>+TH!E170</f>
        <v>0</v>
      </c>
      <c r="C166" s="32">
        <f>+TH!F170</f>
        <v>0</v>
      </c>
      <c r="D166" s="32">
        <f>+TH!G170</f>
        <v>2026</v>
      </c>
      <c r="E166" s="32">
        <f>+TH!H170</f>
        <v>9</v>
      </c>
      <c r="F166" s="32">
        <f>+TH!I170</f>
        <v>0</v>
      </c>
      <c r="G166" s="32" t="str">
        <f>+TH!J170</f>
        <v>D</v>
      </c>
      <c r="H166" s="30">
        <f>+TH!K170</f>
        <v>46154</v>
      </c>
      <c r="I166" s="32" t="str">
        <f>+TH!L170</f>
        <v>NORMA</v>
      </c>
      <c r="J166" s="31">
        <f>+TH!M170</f>
        <v>0</v>
      </c>
      <c r="K166" s="31">
        <f>+TH!N170</f>
        <v>0</v>
      </c>
    </row>
    <row r="167" spans="1:11" x14ac:dyDescent="0.3">
      <c r="A167" s="32">
        <v>40</v>
      </c>
      <c r="B167" s="32">
        <f>+TH!E171</f>
        <v>0</v>
      </c>
      <c r="C167" s="32">
        <f>+TH!F171</f>
        <v>0</v>
      </c>
      <c r="D167" s="32">
        <f>+TH!G171</f>
        <v>2026</v>
      </c>
      <c r="E167" s="32">
        <f>+TH!H171</f>
        <v>9</v>
      </c>
      <c r="F167" s="32">
        <f>+TH!I171</f>
        <v>0</v>
      </c>
      <c r="G167" s="32" t="str">
        <f>+TH!J171</f>
        <v>D</v>
      </c>
      <c r="H167" s="30">
        <f>+TH!K171</f>
        <v>46154</v>
      </c>
      <c r="I167" s="32" t="str">
        <f>+TH!L171</f>
        <v>NORMA</v>
      </c>
      <c r="J167" s="31">
        <f>+TH!M171</f>
        <v>0</v>
      </c>
      <c r="K167" s="31">
        <f>+TH!N171</f>
        <v>0</v>
      </c>
    </row>
    <row r="168" spans="1:11" x14ac:dyDescent="0.3">
      <c r="A168" s="32">
        <v>40</v>
      </c>
      <c r="B168" s="32">
        <f>+TH!E172</f>
        <v>0</v>
      </c>
      <c r="C168" s="32">
        <f>+TH!F172</f>
        <v>0</v>
      </c>
      <c r="D168" s="32">
        <f>+TH!G172</f>
        <v>2026</v>
      </c>
      <c r="E168" s="32">
        <f>+TH!H172</f>
        <v>9</v>
      </c>
      <c r="F168" s="32">
        <f>+TH!I172</f>
        <v>0</v>
      </c>
      <c r="G168" s="32" t="str">
        <f>+TH!J172</f>
        <v>D</v>
      </c>
      <c r="H168" s="30">
        <f>+TH!K172</f>
        <v>46154</v>
      </c>
      <c r="I168" s="32" t="str">
        <f>+TH!L172</f>
        <v>NORMA</v>
      </c>
      <c r="J168" s="31">
        <f>+TH!M172</f>
        <v>0</v>
      </c>
      <c r="K168" s="31">
        <f>+TH!N172</f>
        <v>0</v>
      </c>
    </row>
    <row r="169" spans="1:11" x14ac:dyDescent="0.3">
      <c r="A169" s="32">
        <v>40</v>
      </c>
      <c r="B169" s="32">
        <f>+TH!E173</f>
        <v>0</v>
      </c>
      <c r="C169" s="32">
        <f>+TH!F173</f>
        <v>0</v>
      </c>
      <c r="D169" s="32">
        <f>+TH!G173</f>
        <v>2026</v>
      </c>
      <c r="E169" s="32">
        <f>+TH!H173</f>
        <v>9</v>
      </c>
      <c r="F169" s="32">
        <f>+TH!I173</f>
        <v>0</v>
      </c>
      <c r="G169" s="32" t="str">
        <f>+TH!J173</f>
        <v>D</v>
      </c>
      <c r="H169" s="30">
        <f>+TH!K173</f>
        <v>46154</v>
      </c>
      <c r="I169" s="32" t="str">
        <f>+TH!L173</f>
        <v>NORMA</v>
      </c>
      <c r="J169" s="31">
        <f>+TH!M173</f>
        <v>0</v>
      </c>
      <c r="K169" s="31">
        <f>+TH!N173</f>
        <v>0</v>
      </c>
    </row>
    <row r="170" spans="1:11" x14ac:dyDescent="0.3">
      <c r="A170" s="32">
        <v>40</v>
      </c>
      <c r="B170" s="32">
        <f>+TH!E174</f>
        <v>0</v>
      </c>
      <c r="C170" s="32">
        <f>+TH!F174</f>
        <v>0</v>
      </c>
      <c r="D170" s="32">
        <f>+TH!G174</f>
        <v>2026</v>
      </c>
      <c r="E170" s="32">
        <f>+TH!H174</f>
        <v>9</v>
      </c>
      <c r="F170" s="32">
        <f>+TH!I174</f>
        <v>0</v>
      </c>
      <c r="G170" s="32" t="str">
        <f>+TH!J174</f>
        <v>D</v>
      </c>
      <c r="H170" s="30">
        <f>+TH!K174</f>
        <v>46154</v>
      </c>
      <c r="I170" s="32" t="str">
        <f>+TH!L174</f>
        <v>NORMA</v>
      </c>
      <c r="J170" s="31">
        <f>+TH!M174</f>
        <v>0</v>
      </c>
      <c r="K170" s="31">
        <f>+TH!N174</f>
        <v>0</v>
      </c>
    </row>
    <row r="171" spans="1:11" x14ac:dyDescent="0.3">
      <c r="A171" s="32">
        <v>40</v>
      </c>
      <c r="B171" s="32">
        <f>+TH!E175</f>
        <v>0</v>
      </c>
      <c r="C171" s="32">
        <f>+TH!F175</f>
        <v>0</v>
      </c>
      <c r="D171" s="32">
        <f>+TH!G175</f>
        <v>2026</v>
      </c>
      <c r="E171" s="32">
        <f>+TH!H175</f>
        <v>9</v>
      </c>
      <c r="F171" s="32">
        <f>+TH!I175</f>
        <v>0</v>
      </c>
      <c r="G171" s="32" t="str">
        <f>+TH!J175</f>
        <v>D</v>
      </c>
      <c r="H171" s="30">
        <f>+TH!K175</f>
        <v>46154</v>
      </c>
      <c r="I171" s="32" t="str">
        <f>+TH!L175</f>
        <v>NORMA</v>
      </c>
      <c r="J171" s="31">
        <f>+TH!M175</f>
        <v>0</v>
      </c>
      <c r="K171" s="31">
        <f>+TH!N175</f>
        <v>0</v>
      </c>
    </row>
    <row r="172" spans="1:11" x14ac:dyDescent="0.3">
      <c r="A172" s="32">
        <v>40</v>
      </c>
      <c r="B172" s="32">
        <f>+TH!E176</f>
        <v>0</v>
      </c>
      <c r="C172" s="32">
        <f>+TH!F176</f>
        <v>0</v>
      </c>
      <c r="D172" s="32">
        <f>+TH!G176</f>
        <v>2026</v>
      </c>
      <c r="E172" s="32">
        <f>+TH!H176</f>
        <v>9</v>
      </c>
      <c r="F172" s="32">
        <f>+TH!I176</f>
        <v>0</v>
      </c>
      <c r="G172" s="32" t="str">
        <f>+TH!J176</f>
        <v>D</v>
      </c>
      <c r="H172" s="30">
        <f>+TH!K176</f>
        <v>46154</v>
      </c>
      <c r="I172" s="32" t="str">
        <f>+TH!L176</f>
        <v>NORMA</v>
      </c>
      <c r="J172" s="31">
        <f>+TH!M176</f>
        <v>0</v>
      </c>
      <c r="K172" s="31">
        <f>+TH!N176</f>
        <v>0</v>
      </c>
    </row>
    <row r="173" spans="1:11" x14ac:dyDescent="0.3">
      <c r="A173" s="32">
        <v>40</v>
      </c>
      <c r="B173" s="32">
        <f>+TH!E177</f>
        <v>0</v>
      </c>
      <c r="C173" s="32">
        <f>+TH!F177</f>
        <v>0</v>
      </c>
      <c r="D173" s="32">
        <f>+TH!G177</f>
        <v>2026</v>
      </c>
      <c r="E173" s="32">
        <f>+TH!H177</f>
        <v>9</v>
      </c>
      <c r="F173" s="32">
        <f>+TH!I177</f>
        <v>0</v>
      </c>
      <c r="G173" s="32" t="str">
        <f>+TH!J177</f>
        <v>D</v>
      </c>
      <c r="H173" s="30">
        <f>+TH!K177</f>
        <v>46154</v>
      </c>
      <c r="I173" s="32" t="str">
        <f>+TH!L177</f>
        <v>NORMA</v>
      </c>
      <c r="J173" s="31">
        <f>+TH!M177</f>
        <v>0</v>
      </c>
      <c r="K173" s="31">
        <f>+TH!N177</f>
        <v>0</v>
      </c>
    </row>
    <row r="174" spans="1:11" x14ac:dyDescent="0.3">
      <c r="A174" s="32">
        <v>40</v>
      </c>
      <c r="B174" s="32">
        <f>+TH!E178</f>
        <v>0</v>
      </c>
      <c r="C174" s="32">
        <f>+TH!F178</f>
        <v>0</v>
      </c>
      <c r="D174" s="32">
        <f>+TH!G178</f>
        <v>2026</v>
      </c>
      <c r="E174" s="32">
        <f>+TH!H178</f>
        <v>9</v>
      </c>
      <c r="F174" s="32">
        <f>+TH!I178</f>
        <v>0</v>
      </c>
      <c r="G174" s="32" t="str">
        <f>+TH!J178</f>
        <v>D</v>
      </c>
      <c r="H174" s="30">
        <f>+TH!K178</f>
        <v>46154</v>
      </c>
      <c r="I174" s="32" t="str">
        <f>+TH!L178</f>
        <v>NORMA</v>
      </c>
      <c r="J174" s="31">
        <f>+TH!M178</f>
        <v>0</v>
      </c>
      <c r="K174" s="31">
        <f>+TH!N178</f>
        <v>0</v>
      </c>
    </row>
    <row r="175" spans="1:11" x14ac:dyDescent="0.3">
      <c r="A175" s="32">
        <v>40</v>
      </c>
      <c r="B175" s="32">
        <f>+TH!E179</f>
        <v>0</v>
      </c>
      <c r="C175" s="32">
        <f>+TH!F179</f>
        <v>0</v>
      </c>
      <c r="D175" s="32">
        <f>+TH!G179</f>
        <v>2026</v>
      </c>
      <c r="E175" s="32">
        <f>+TH!H179</f>
        <v>9</v>
      </c>
      <c r="F175" s="32">
        <f>+TH!I179</f>
        <v>0</v>
      </c>
      <c r="G175" s="32" t="str">
        <f>+TH!J179</f>
        <v>D</v>
      </c>
      <c r="H175" s="30">
        <f>+TH!K179</f>
        <v>46154</v>
      </c>
      <c r="I175" s="32" t="str">
        <f>+TH!L179</f>
        <v>NORMA</v>
      </c>
      <c r="J175" s="31">
        <f>+TH!M179</f>
        <v>0</v>
      </c>
      <c r="K175" s="31">
        <f>+TH!N179</f>
        <v>0</v>
      </c>
    </row>
    <row r="176" spans="1:11" x14ac:dyDescent="0.3">
      <c r="A176" s="32">
        <v>40</v>
      </c>
      <c r="B176" s="32">
        <f>+TH!E180</f>
        <v>0</v>
      </c>
      <c r="C176" s="32">
        <f>+TH!F180</f>
        <v>0</v>
      </c>
      <c r="D176" s="32">
        <f>+TH!G180</f>
        <v>2026</v>
      </c>
      <c r="E176" s="32">
        <f>+TH!H180</f>
        <v>9</v>
      </c>
      <c r="F176" s="32">
        <f>+TH!I180</f>
        <v>0</v>
      </c>
      <c r="G176" s="32" t="str">
        <f>+TH!J180</f>
        <v>D</v>
      </c>
      <c r="H176" s="30">
        <f>+TH!K180</f>
        <v>46154</v>
      </c>
      <c r="I176" s="32" t="str">
        <f>+TH!L180</f>
        <v>NORMA</v>
      </c>
      <c r="J176" s="31">
        <f>+TH!M180</f>
        <v>0</v>
      </c>
      <c r="K176" s="31">
        <f>+TH!N180</f>
        <v>0</v>
      </c>
    </row>
    <row r="177" spans="1:11" x14ac:dyDescent="0.3">
      <c r="A177" s="32">
        <v>40</v>
      </c>
      <c r="B177" s="32">
        <f>+TH!E181</f>
        <v>0</v>
      </c>
      <c r="C177" s="32">
        <f>+TH!F181</f>
        <v>0</v>
      </c>
      <c r="D177" s="32">
        <f>+TH!G181</f>
        <v>2026</v>
      </c>
      <c r="E177" s="32">
        <f>+TH!H181</f>
        <v>9</v>
      </c>
      <c r="F177" s="32">
        <f>+TH!I181</f>
        <v>0</v>
      </c>
      <c r="G177" s="32" t="str">
        <f>+TH!J181</f>
        <v>D</v>
      </c>
      <c r="H177" s="30">
        <f>+TH!K181</f>
        <v>46154</v>
      </c>
      <c r="I177" s="32" t="str">
        <f>+TH!L181</f>
        <v>NORMA</v>
      </c>
      <c r="J177" s="31">
        <f>+TH!M181</f>
        <v>0</v>
      </c>
      <c r="K177" s="31">
        <f>+TH!N181</f>
        <v>0</v>
      </c>
    </row>
    <row r="178" spans="1:11" x14ac:dyDescent="0.3">
      <c r="A178" s="32">
        <v>40</v>
      </c>
      <c r="B178" s="32">
        <f>+TH!E182</f>
        <v>0</v>
      </c>
      <c r="C178" s="32">
        <f>+TH!F182</f>
        <v>0</v>
      </c>
      <c r="D178" s="32">
        <f>+TH!G182</f>
        <v>2026</v>
      </c>
      <c r="E178" s="32">
        <f>+TH!H182</f>
        <v>9</v>
      </c>
      <c r="F178" s="32">
        <f>+TH!I182</f>
        <v>0</v>
      </c>
      <c r="G178" s="32" t="str">
        <f>+TH!J182</f>
        <v>D</v>
      </c>
      <c r="H178" s="30">
        <f>+TH!K182</f>
        <v>46154</v>
      </c>
      <c r="I178" s="32" t="str">
        <f>+TH!L182</f>
        <v>NORMA</v>
      </c>
      <c r="J178" s="31">
        <f>+TH!M182</f>
        <v>0</v>
      </c>
      <c r="K178" s="31">
        <f>+TH!N182</f>
        <v>0</v>
      </c>
    </row>
    <row r="179" spans="1:11" x14ac:dyDescent="0.3">
      <c r="A179" s="32">
        <v>40</v>
      </c>
      <c r="B179" s="32">
        <f>+TH!E183</f>
        <v>0</v>
      </c>
      <c r="C179" s="32">
        <f>+TH!F183</f>
        <v>0</v>
      </c>
      <c r="D179" s="32">
        <f>+TH!G183</f>
        <v>2026</v>
      </c>
      <c r="E179" s="32">
        <f>+TH!H183</f>
        <v>9</v>
      </c>
      <c r="F179" s="32">
        <f>+TH!I183</f>
        <v>0</v>
      </c>
      <c r="G179" s="32" t="str">
        <f>+TH!J183</f>
        <v>D</v>
      </c>
      <c r="H179" s="30">
        <f>+TH!K183</f>
        <v>46154</v>
      </c>
      <c r="I179" s="32" t="str">
        <f>+TH!L183</f>
        <v>NORMA</v>
      </c>
      <c r="J179" s="31">
        <f>+TH!M183</f>
        <v>0</v>
      </c>
      <c r="K179" s="31">
        <f>+TH!N183</f>
        <v>0</v>
      </c>
    </row>
    <row r="180" spans="1:11" x14ac:dyDescent="0.3">
      <c r="A180" s="32">
        <v>40</v>
      </c>
      <c r="B180" s="32">
        <f>+TH!E184</f>
        <v>0</v>
      </c>
      <c r="C180" s="32">
        <f>+TH!F184</f>
        <v>0</v>
      </c>
      <c r="D180" s="32">
        <f>+TH!G184</f>
        <v>2026</v>
      </c>
      <c r="E180" s="32">
        <f>+TH!H184</f>
        <v>9</v>
      </c>
      <c r="F180" s="32">
        <f>+TH!I184</f>
        <v>0</v>
      </c>
      <c r="G180" s="32" t="str">
        <f>+TH!J184</f>
        <v>D</v>
      </c>
      <c r="H180" s="30">
        <f>+TH!K184</f>
        <v>46154</v>
      </c>
      <c r="I180" s="32" t="str">
        <f>+TH!L184</f>
        <v>NORMA</v>
      </c>
      <c r="J180" s="31">
        <f>+TH!M184</f>
        <v>0</v>
      </c>
      <c r="K180" s="31">
        <f>+TH!N184</f>
        <v>0</v>
      </c>
    </row>
    <row r="181" spans="1:11" x14ac:dyDescent="0.3">
      <c r="A181" s="32">
        <v>40</v>
      </c>
      <c r="B181" s="32">
        <f>+TH!E185</f>
        <v>0</v>
      </c>
      <c r="C181" s="32">
        <f>+TH!F185</f>
        <v>0</v>
      </c>
      <c r="D181" s="32">
        <f>+TH!G185</f>
        <v>2026</v>
      </c>
      <c r="E181" s="32">
        <f>+TH!H185</f>
        <v>9</v>
      </c>
      <c r="F181" s="32">
        <f>+TH!I185</f>
        <v>0</v>
      </c>
      <c r="G181" s="32" t="str">
        <f>+TH!J185</f>
        <v>D</v>
      </c>
      <c r="H181" s="30">
        <f>+TH!K185</f>
        <v>46154</v>
      </c>
      <c r="I181" s="32" t="str">
        <f>+TH!L185</f>
        <v>NORMA</v>
      </c>
      <c r="J181" s="31">
        <f>+TH!M185</f>
        <v>0</v>
      </c>
      <c r="K181" s="31">
        <f>+TH!N185</f>
        <v>0</v>
      </c>
    </row>
    <row r="182" spans="1:11" x14ac:dyDescent="0.3">
      <c r="A182" s="32">
        <v>40</v>
      </c>
      <c r="B182" s="32">
        <f>+TH!E186</f>
        <v>0</v>
      </c>
      <c r="C182" s="32">
        <f>+TH!F186</f>
        <v>0</v>
      </c>
      <c r="D182" s="32">
        <f>+TH!G186</f>
        <v>2026</v>
      </c>
      <c r="E182" s="32">
        <f>+TH!H186</f>
        <v>9</v>
      </c>
      <c r="F182" s="32">
        <f>+TH!I186</f>
        <v>0</v>
      </c>
      <c r="G182" s="32" t="str">
        <f>+TH!J186</f>
        <v>D</v>
      </c>
      <c r="H182" s="30">
        <f>+TH!K186</f>
        <v>46154</v>
      </c>
      <c r="I182" s="32" t="str">
        <f>+TH!L186</f>
        <v>NORMA</v>
      </c>
      <c r="J182" s="31">
        <f>+TH!M186</f>
        <v>0</v>
      </c>
      <c r="K182" s="31">
        <f>+TH!N186</f>
        <v>0</v>
      </c>
    </row>
    <row r="183" spans="1:11" x14ac:dyDescent="0.3">
      <c r="A183" s="32">
        <v>40</v>
      </c>
      <c r="B183" s="32">
        <f>+TH!E187</f>
        <v>0</v>
      </c>
      <c r="C183" s="32">
        <f>+TH!F187</f>
        <v>0</v>
      </c>
      <c r="D183" s="32">
        <f>+TH!G187</f>
        <v>2026</v>
      </c>
      <c r="E183" s="32">
        <f>+TH!H187</f>
        <v>9</v>
      </c>
      <c r="F183" s="32">
        <f>+TH!I187</f>
        <v>0</v>
      </c>
      <c r="G183" s="32" t="str">
        <f>+TH!J187</f>
        <v>D</v>
      </c>
      <c r="H183" s="30">
        <f>+TH!K187</f>
        <v>46154</v>
      </c>
      <c r="I183" s="32" t="str">
        <f>+TH!L187</f>
        <v>NORMA</v>
      </c>
      <c r="J183" s="31">
        <f>+TH!M187</f>
        <v>0</v>
      </c>
      <c r="K183" s="31">
        <f>+TH!N187</f>
        <v>0</v>
      </c>
    </row>
    <row r="184" spans="1:11" x14ac:dyDescent="0.3">
      <c r="A184" s="32">
        <v>40</v>
      </c>
      <c r="B184" s="32">
        <f>+TH!E188</f>
        <v>0</v>
      </c>
      <c r="C184" s="32">
        <f>+TH!F188</f>
        <v>0</v>
      </c>
      <c r="D184" s="32">
        <f>+TH!G188</f>
        <v>2026</v>
      </c>
      <c r="E184" s="32">
        <f>+TH!H188</f>
        <v>9</v>
      </c>
      <c r="F184" s="32">
        <f>+TH!I188</f>
        <v>0</v>
      </c>
      <c r="G184" s="32" t="str">
        <f>+TH!J188</f>
        <v>D</v>
      </c>
      <c r="H184" s="30">
        <f>+TH!K188</f>
        <v>46154</v>
      </c>
      <c r="I184" s="32" t="str">
        <f>+TH!L188</f>
        <v>NORMA</v>
      </c>
      <c r="J184" s="31">
        <f>+TH!M188</f>
        <v>0</v>
      </c>
      <c r="K184" s="31">
        <f>+TH!N188</f>
        <v>0</v>
      </c>
    </row>
    <row r="185" spans="1:11" x14ac:dyDescent="0.3">
      <c r="A185" s="32">
        <v>40</v>
      </c>
      <c r="B185" s="32">
        <f>+TH!E189</f>
        <v>0</v>
      </c>
      <c r="C185" s="32">
        <f>+TH!F189</f>
        <v>0</v>
      </c>
      <c r="D185" s="32">
        <f>+TH!G189</f>
        <v>2026</v>
      </c>
      <c r="E185" s="32">
        <f>+TH!H189</f>
        <v>9</v>
      </c>
      <c r="F185" s="32">
        <f>+TH!I189</f>
        <v>0</v>
      </c>
      <c r="G185" s="32" t="str">
        <f>+TH!J189</f>
        <v>D</v>
      </c>
      <c r="H185" s="30">
        <f>+TH!K189</f>
        <v>46154</v>
      </c>
      <c r="I185" s="32" t="str">
        <f>+TH!L189</f>
        <v>NORMA</v>
      </c>
      <c r="J185" s="31">
        <f>+TH!M189</f>
        <v>0</v>
      </c>
      <c r="K185" s="31">
        <f>+TH!N189</f>
        <v>0</v>
      </c>
    </row>
    <row r="186" spans="1:11" x14ac:dyDescent="0.3">
      <c r="A186" s="32">
        <v>40</v>
      </c>
      <c r="B186" s="32">
        <f>+TH!E190</f>
        <v>0</v>
      </c>
      <c r="C186" s="32">
        <f>+TH!F190</f>
        <v>0</v>
      </c>
      <c r="D186" s="32">
        <f>+TH!G190</f>
        <v>2026</v>
      </c>
      <c r="E186" s="32">
        <f>+TH!H190</f>
        <v>9</v>
      </c>
      <c r="F186" s="32">
        <f>+TH!I190</f>
        <v>0</v>
      </c>
      <c r="G186" s="32" t="str">
        <f>+TH!J190</f>
        <v>D</v>
      </c>
      <c r="H186" s="30">
        <f>+TH!K190</f>
        <v>46154</v>
      </c>
      <c r="I186" s="32" t="str">
        <f>+TH!L190</f>
        <v>NORMA</v>
      </c>
      <c r="J186" s="31">
        <f>+TH!M190</f>
        <v>0</v>
      </c>
      <c r="K186" s="31">
        <f>+TH!N190</f>
        <v>0</v>
      </c>
    </row>
    <row r="187" spans="1:11" x14ac:dyDescent="0.3">
      <c r="A187" s="32">
        <v>40</v>
      </c>
      <c r="B187" s="32">
        <f>+TH!E191</f>
        <v>0</v>
      </c>
      <c r="C187" s="32">
        <f>+TH!F191</f>
        <v>0</v>
      </c>
      <c r="D187" s="32">
        <f>+TH!G191</f>
        <v>2026</v>
      </c>
      <c r="E187" s="32">
        <f>+TH!H191</f>
        <v>9</v>
      </c>
      <c r="F187" s="32">
        <f>+TH!I191</f>
        <v>0</v>
      </c>
      <c r="G187" s="32" t="str">
        <f>+TH!J191</f>
        <v>D</v>
      </c>
      <c r="H187" s="30">
        <f>+TH!K191</f>
        <v>46154</v>
      </c>
      <c r="I187" s="32" t="str">
        <f>+TH!L191</f>
        <v>NORMA</v>
      </c>
      <c r="J187" s="31">
        <f>+TH!M191</f>
        <v>0</v>
      </c>
      <c r="K187" s="31">
        <f>+TH!N191</f>
        <v>0</v>
      </c>
    </row>
    <row r="188" spans="1:11" x14ac:dyDescent="0.3">
      <c r="A188" s="32">
        <v>40</v>
      </c>
      <c r="B188" s="32">
        <f>+TH!E192</f>
        <v>0</v>
      </c>
      <c r="C188" s="32">
        <f>+TH!F192</f>
        <v>0</v>
      </c>
      <c r="D188" s="32">
        <f>+TH!G192</f>
        <v>2026</v>
      </c>
      <c r="E188" s="32">
        <f>+TH!H192</f>
        <v>9</v>
      </c>
      <c r="F188" s="32">
        <f>+TH!I192</f>
        <v>0</v>
      </c>
      <c r="G188" s="32" t="str">
        <f>+TH!J192</f>
        <v>D</v>
      </c>
      <c r="H188" s="30">
        <f>+TH!K192</f>
        <v>46154</v>
      </c>
      <c r="I188" s="32" t="str">
        <f>+TH!L192</f>
        <v>NORMA</v>
      </c>
      <c r="J188" s="31">
        <f>+TH!M192</f>
        <v>0</v>
      </c>
      <c r="K188" s="31">
        <f>+TH!N192</f>
        <v>0</v>
      </c>
    </row>
    <row r="189" spans="1:11" x14ac:dyDescent="0.3">
      <c r="A189" s="32">
        <v>40</v>
      </c>
      <c r="B189" s="32">
        <f>+TH!E193</f>
        <v>0</v>
      </c>
      <c r="C189" s="32">
        <f>+TH!F193</f>
        <v>0</v>
      </c>
      <c r="D189" s="32">
        <f>+TH!G193</f>
        <v>2026</v>
      </c>
      <c r="E189" s="32">
        <f>+TH!H193</f>
        <v>9</v>
      </c>
      <c r="F189" s="32">
        <f>+TH!I193</f>
        <v>0</v>
      </c>
      <c r="G189" s="32" t="str">
        <f>+TH!J193</f>
        <v>D</v>
      </c>
      <c r="H189" s="30">
        <f>+TH!K193</f>
        <v>46154</v>
      </c>
      <c r="I189" s="32" t="str">
        <f>+TH!L193</f>
        <v>NORMA</v>
      </c>
      <c r="J189" s="31">
        <f>+TH!M193</f>
        <v>0</v>
      </c>
      <c r="K189" s="31">
        <f>+TH!N193</f>
        <v>0</v>
      </c>
    </row>
    <row r="190" spans="1:11" x14ac:dyDescent="0.3">
      <c r="A190" s="32">
        <v>40</v>
      </c>
      <c r="B190" s="32">
        <f>+TH!E194</f>
        <v>0</v>
      </c>
      <c r="C190" s="32">
        <f>+TH!F194</f>
        <v>0</v>
      </c>
      <c r="D190" s="32">
        <f>+TH!G194</f>
        <v>2026</v>
      </c>
      <c r="E190" s="32">
        <f>+TH!H194</f>
        <v>9</v>
      </c>
      <c r="F190" s="32">
        <f>+TH!I194</f>
        <v>0</v>
      </c>
      <c r="G190" s="32" t="str">
        <f>+TH!J194</f>
        <v>D</v>
      </c>
      <c r="H190" s="30">
        <f>+TH!K194</f>
        <v>46154</v>
      </c>
      <c r="I190" s="32" t="str">
        <f>+TH!L194</f>
        <v>NORMA</v>
      </c>
      <c r="J190" s="31">
        <f>+TH!M194</f>
        <v>0</v>
      </c>
      <c r="K190" s="31">
        <f>+TH!N194</f>
        <v>0</v>
      </c>
    </row>
    <row r="191" spans="1:11" x14ac:dyDescent="0.3">
      <c r="A191" s="32">
        <v>40</v>
      </c>
      <c r="B191" s="32">
        <f>+TH!E195</f>
        <v>0</v>
      </c>
      <c r="C191" s="32">
        <f>+TH!F195</f>
        <v>0</v>
      </c>
      <c r="D191" s="32">
        <f>+TH!G195</f>
        <v>2026</v>
      </c>
      <c r="E191" s="32">
        <f>+TH!H195</f>
        <v>9</v>
      </c>
      <c r="F191" s="32">
        <f>+TH!I195</f>
        <v>0</v>
      </c>
      <c r="G191" s="32" t="str">
        <f>+TH!J195</f>
        <v>D</v>
      </c>
      <c r="H191" s="30">
        <f>+TH!K195</f>
        <v>46154</v>
      </c>
      <c r="I191" s="32" t="str">
        <f>+TH!L195</f>
        <v>NORMA</v>
      </c>
      <c r="J191" s="31">
        <f>+TH!M195</f>
        <v>0</v>
      </c>
      <c r="K191" s="31">
        <f>+TH!N195</f>
        <v>0</v>
      </c>
    </row>
    <row r="192" spans="1:11" x14ac:dyDescent="0.3">
      <c r="A192" s="32">
        <v>40</v>
      </c>
      <c r="B192" s="32">
        <f>+TH!E196</f>
        <v>0</v>
      </c>
      <c r="C192" s="32">
        <f>+TH!F196</f>
        <v>0</v>
      </c>
      <c r="D192" s="32">
        <f>+TH!G196</f>
        <v>2026</v>
      </c>
      <c r="E192" s="32">
        <f>+TH!H196</f>
        <v>9</v>
      </c>
      <c r="F192" s="32">
        <f>+TH!I196</f>
        <v>0</v>
      </c>
      <c r="G192" s="32" t="str">
        <f>+TH!J196</f>
        <v>D</v>
      </c>
      <c r="H192" s="30">
        <f>+TH!K196</f>
        <v>46154</v>
      </c>
      <c r="I192" s="32" t="str">
        <f>+TH!L196</f>
        <v>NORMA</v>
      </c>
      <c r="J192" s="31">
        <f>+TH!M196</f>
        <v>0</v>
      </c>
      <c r="K192" s="31">
        <f>+TH!N196</f>
        <v>0</v>
      </c>
    </row>
    <row r="193" spans="1:11" x14ac:dyDescent="0.3">
      <c r="A193" s="32">
        <v>40</v>
      </c>
      <c r="B193" s="32">
        <f>+TH!E197</f>
        <v>0</v>
      </c>
      <c r="C193" s="32">
        <f>+TH!F197</f>
        <v>0</v>
      </c>
      <c r="D193" s="32">
        <f>+TH!G197</f>
        <v>2026</v>
      </c>
      <c r="E193" s="32">
        <f>+TH!H197</f>
        <v>9</v>
      </c>
      <c r="F193" s="32">
        <f>+TH!I197</f>
        <v>0</v>
      </c>
      <c r="G193" s="32" t="str">
        <f>+TH!J197</f>
        <v>D</v>
      </c>
      <c r="H193" s="30">
        <f>+TH!K197</f>
        <v>46154</v>
      </c>
      <c r="I193" s="32" t="str">
        <f>+TH!L197</f>
        <v>NORMA</v>
      </c>
      <c r="J193" s="31">
        <f>+TH!M197</f>
        <v>0</v>
      </c>
      <c r="K193" s="31">
        <f>+TH!N197</f>
        <v>0</v>
      </c>
    </row>
    <row r="194" spans="1:11" x14ac:dyDescent="0.3">
      <c r="A194" s="32">
        <v>40</v>
      </c>
      <c r="B194" s="32">
        <f>+TH!E198</f>
        <v>0</v>
      </c>
      <c r="C194" s="32">
        <f>+TH!F198</f>
        <v>0</v>
      </c>
      <c r="D194" s="32">
        <f>+TH!G198</f>
        <v>2026</v>
      </c>
      <c r="E194" s="32">
        <f>+TH!H198</f>
        <v>9</v>
      </c>
      <c r="F194" s="32">
        <f>+TH!I198</f>
        <v>0</v>
      </c>
      <c r="G194" s="32" t="str">
        <f>+TH!J198</f>
        <v>D</v>
      </c>
      <c r="H194" s="30">
        <f>+TH!K198</f>
        <v>46154</v>
      </c>
      <c r="I194" s="32" t="str">
        <f>+TH!L198</f>
        <v>NORMA</v>
      </c>
      <c r="J194" s="31">
        <f>+TH!M198</f>
        <v>0</v>
      </c>
      <c r="K194" s="31">
        <f>+TH!N198</f>
        <v>0</v>
      </c>
    </row>
    <row r="195" spans="1:11" x14ac:dyDescent="0.3">
      <c r="A195" s="32">
        <v>40</v>
      </c>
      <c r="B195" s="32">
        <f>+TH!E199</f>
        <v>0</v>
      </c>
      <c r="C195" s="32">
        <f>+TH!F199</f>
        <v>0</v>
      </c>
      <c r="D195" s="32">
        <f>+TH!G199</f>
        <v>2026</v>
      </c>
      <c r="E195" s="32">
        <f>+TH!H199</f>
        <v>9</v>
      </c>
      <c r="F195" s="32">
        <f>+TH!I199</f>
        <v>0</v>
      </c>
      <c r="G195" s="32" t="str">
        <f>+TH!J199</f>
        <v>D</v>
      </c>
      <c r="H195" s="30">
        <f>+TH!K199</f>
        <v>46154</v>
      </c>
      <c r="I195" s="32" t="str">
        <f>+TH!L199</f>
        <v>NORMA</v>
      </c>
      <c r="J195" s="31">
        <f>+TH!M199</f>
        <v>0</v>
      </c>
      <c r="K195" s="31">
        <f>+TH!N199</f>
        <v>0</v>
      </c>
    </row>
    <row r="196" spans="1:11" x14ac:dyDescent="0.3">
      <c r="A196" s="32">
        <v>40</v>
      </c>
      <c r="B196" s="32">
        <f>+TH!E200</f>
        <v>0</v>
      </c>
      <c r="C196" s="32">
        <f>+TH!F200</f>
        <v>0</v>
      </c>
      <c r="D196" s="32">
        <f>+TH!G200</f>
        <v>2026</v>
      </c>
      <c r="E196" s="32">
        <f>+TH!H200</f>
        <v>9</v>
      </c>
      <c r="F196" s="32">
        <f>+TH!I200</f>
        <v>0</v>
      </c>
      <c r="G196" s="32" t="str">
        <f>+TH!J200</f>
        <v>D</v>
      </c>
      <c r="H196" s="30">
        <f>+TH!K200</f>
        <v>46154</v>
      </c>
      <c r="I196" s="32" t="str">
        <f>+TH!L200</f>
        <v>NORMA</v>
      </c>
      <c r="J196" s="31">
        <f>+TH!M200</f>
        <v>0</v>
      </c>
      <c r="K196" s="31">
        <f>+TH!N200</f>
        <v>0</v>
      </c>
    </row>
    <row r="197" spans="1:11" x14ac:dyDescent="0.3">
      <c r="A197" s="32">
        <v>40</v>
      </c>
      <c r="B197" s="32">
        <f>+TH!E201</f>
        <v>0</v>
      </c>
      <c r="C197" s="32">
        <f>+TH!F201</f>
        <v>0</v>
      </c>
      <c r="D197" s="32">
        <f>+TH!G201</f>
        <v>2026</v>
      </c>
      <c r="E197" s="32">
        <f>+TH!H201</f>
        <v>9</v>
      </c>
      <c r="F197" s="32">
        <f>+TH!I201</f>
        <v>0</v>
      </c>
      <c r="G197" s="32" t="str">
        <f>+TH!J201</f>
        <v>D</v>
      </c>
      <c r="H197" s="30">
        <f>+TH!K201</f>
        <v>46154</v>
      </c>
      <c r="I197" s="32" t="str">
        <f>+TH!L201</f>
        <v>NORMA</v>
      </c>
      <c r="J197" s="31">
        <f>+TH!M201</f>
        <v>0</v>
      </c>
      <c r="K197" s="31">
        <f>+TH!N201</f>
        <v>0</v>
      </c>
    </row>
    <row r="198" spans="1:11" x14ac:dyDescent="0.3">
      <c r="A198" s="32">
        <v>40</v>
      </c>
      <c r="B198" s="32">
        <f>+TH!E202</f>
        <v>0</v>
      </c>
      <c r="C198" s="32">
        <f>+TH!F202</f>
        <v>0</v>
      </c>
      <c r="D198" s="32">
        <f>+TH!G202</f>
        <v>2026</v>
      </c>
      <c r="E198" s="32">
        <f>+TH!H202</f>
        <v>9</v>
      </c>
      <c r="F198" s="32">
        <f>+TH!I202</f>
        <v>0</v>
      </c>
      <c r="G198" s="32" t="str">
        <f>+TH!J202</f>
        <v>D</v>
      </c>
      <c r="H198" s="30">
        <f>+TH!K202</f>
        <v>46154</v>
      </c>
      <c r="I198" s="32" t="str">
        <f>+TH!L202</f>
        <v>NORMA</v>
      </c>
      <c r="J198" s="31">
        <f>+TH!M202</f>
        <v>0</v>
      </c>
      <c r="K198" s="31">
        <f>+TH!N202</f>
        <v>0</v>
      </c>
    </row>
    <row r="199" spans="1:11" x14ac:dyDescent="0.3">
      <c r="A199" s="32">
        <v>40</v>
      </c>
      <c r="B199" s="32">
        <f>+TH!E203</f>
        <v>0</v>
      </c>
      <c r="C199" s="32">
        <f>+TH!F203</f>
        <v>0</v>
      </c>
      <c r="D199" s="32">
        <f>+TH!G203</f>
        <v>2026</v>
      </c>
      <c r="E199" s="32">
        <f>+TH!H203</f>
        <v>9</v>
      </c>
      <c r="F199" s="32">
        <f>+TH!I203</f>
        <v>0</v>
      </c>
      <c r="G199" s="32" t="str">
        <f>+TH!J203</f>
        <v>D</v>
      </c>
      <c r="H199" s="30">
        <f>+TH!K203</f>
        <v>46154</v>
      </c>
      <c r="I199" s="32" t="str">
        <f>+TH!L203</f>
        <v>NORMA</v>
      </c>
      <c r="J199" s="31">
        <f>+TH!M203</f>
        <v>0</v>
      </c>
      <c r="K199" s="31">
        <f>+TH!N203</f>
        <v>0</v>
      </c>
    </row>
    <row r="200" spans="1:11" x14ac:dyDescent="0.3">
      <c r="A200" s="32">
        <v>40</v>
      </c>
      <c r="B200" s="32">
        <f>+TH!E204</f>
        <v>0</v>
      </c>
      <c r="C200" s="32">
        <f>+TH!F204</f>
        <v>0</v>
      </c>
      <c r="D200" s="32">
        <f>+TH!G204</f>
        <v>2026</v>
      </c>
      <c r="E200" s="32">
        <f>+TH!H204</f>
        <v>9</v>
      </c>
      <c r="F200" s="32">
        <f>+TH!I204</f>
        <v>0</v>
      </c>
      <c r="G200" s="32" t="str">
        <f>+TH!J204</f>
        <v>D</v>
      </c>
      <c r="H200" s="30">
        <f>+TH!K204</f>
        <v>46154</v>
      </c>
      <c r="I200" s="32" t="str">
        <f>+TH!L204</f>
        <v>NORMA</v>
      </c>
      <c r="J200" s="31">
        <f>+TH!M204</f>
        <v>0</v>
      </c>
      <c r="K200" s="31">
        <f>+TH!N204</f>
        <v>0</v>
      </c>
    </row>
    <row r="201" spans="1:11" x14ac:dyDescent="0.3">
      <c r="A201" s="32">
        <v>40</v>
      </c>
      <c r="B201" s="32">
        <f>+TH!E205</f>
        <v>0</v>
      </c>
      <c r="C201" s="32">
        <f>+TH!F205</f>
        <v>0</v>
      </c>
      <c r="D201" s="32">
        <f>+TH!G205</f>
        <v>2026</v>
      </c>
      <c r="E201" s="32">
        <f>+TH!H205</f>
        <v>9</v>
      </c>
      <c r="F201" s="32">
        <f>+TH!I205</f>
        <v>0</v>
      </c>
      <c r="G201" s="32" t="str">
        <f>+TH!J205</f>
        <v>D</v>
      </c>
      <c r="H201" s="30">
        <f>+TH!K205</f>
        <v>46154</v>
      </c>
      <c r="I201" s="32" t="str">
        <f>+TH!L205</f>
        <v>NORMA</v>
      </c>
      <c r="J201" s="31">
        <f>+TH!M205</f>
        <v>0</v>
      </c>
      <c r="K201" s="31">
        <f>+TH!N205</f>
        <v>0</v>
      </c>
    </row>
    <row r="202" spans="1:11" x14ac:dyDescent="0.3">
      <c r="A202" s="32">
        <v>40</v>
      </c>
      <c r="B202" s="32">
        <f>+TH!E206</f>
        <v>0</v>
      </c>
      <c r="C202" s="32">
        <f>+TH!F206</f>
        <v>0</v>
      </c>
      <c r="D202" s="32">
        <f>+TH!G206</f>
        <v>2026</v>
      </c>
      <c r="E202" s="32">
        <f>+TH!H206</f>
        <v>9</v>
      </c>
      <c r="F202" s="32">
        <f>+TH!I206</f>
        <v>0</v>
      </c>
      <c r="G202" s="32" t="str">
        <f>+TH!J206</f>
        <v>D</v>
      </c>
      <c r="H202" s="30">
        <f>+TH!K206</f>
        <v>46154</v>
      </c>
      <c r="I202" s="32" t="str">
        <f>+TH!L206</f>
        <v>NORMA</v>
      </c>
      <c r="J202" s="31">
        <f>+TH!M206</f>
        <v>0</v>
      </c>
      <c r="K202" s="31">
        <f>+TH!N206</f>
        <v>0</v>
      </c>
    </row>
    <row r="203" spans="1:11" x14ac:dyDescent="0.3">
      <c r="A203" s="32">
        <v>40</v>
      </c>
      <c r="B203" s="32">
        <f>+TH!E207</f>
        <v>0</v>
      </c>
      <c r="C203" s="32">
        <f>+TH!F207</f>
        <v>0</v>
      </c>
      <c r="D203" s="32">
        <f>+TH!G207</f>
        <v>2026</v>
      </c>
      <c r="E203" s="32">
        <f>+TH!H207</f>
        <v>9</v>
      </c>
      <c r="F203" s="32">
        <f>+TH!I207</f>
        <v>0</v>
      </c>
      <c r="G203" s="32" t="str">
        <f>+TH!J207</f>
        <v>D</v>
      </c>
      <c r="H203" s="30">
        <f>+TH!K207</f>
        <v>46154</v>
      </c>
      <c r="I203" s="32" t="str">
        <f>+TH!L207</f>
        <v>NORMA</v>
      </c>
      <c r="J203" s="31">
        <f>+TH!M207</f>
        <v>0</v>
      </c>
      <c r="K203" s="31">
        <f>+TH!N207</f>
        <v>0</v>
      </c>
    </row>
    <row r="204" spans="1:11" x14ac:dyDescent="0.3">
      <c r="A204" s="32">
        <v>40</v>
      </c>
      <c r="B204" s="32">
        <f>+TH!E208</f>
        <v>0</v>
      </c>
      <c r="C204" s="32">
        <f>+TH!F208</f>
        <v>0</v>
      </c>
      <c r="D204" s="32">
        <f>+TH!G208</f>
        <v>2026</v>
      </c>
      <c r="E204" s="32">
        <f>+TH!H208</f>
        <v>9</v>
      </c>
      <c r="F204" s="32">
        <f>+TH!I208</f>
        <v>0</v>
      </c>
      <c r="G204" s="32" t="str">
        <f>+TH!J208</f>
        <v>D</v>
      </c>
      <c r="H204" s="30">
        <f>+TH!K208</f>
        <v>46154</v>
      </c>
      <c r="I204" s="32" t="str">
        <f>+TH!L208</f>
        <v>NORMA</v>
      </c>
      <c r="J204" s="31">
        <f>+TH!M208</f>
        <v>0</v>
      </c>
      <c r="K204" s="31">
        <f>+TH!N208</f>
        <v>0</v>
      </c>
    </row>
    <row r="205" spans="1:11" x14ac:dyDescent="0.3">
      <c r="A205" s="32">
        <v>40</v>
      </c>
      <c r="B205" s="32">
        <f>+TH!E209</f>
        <v>0</v>
      </c>
      <c r="C205" s="32">
        <f>+TH!F209</f>
        <v>0</v>
      </c>
      <c r="D205" s="32">
        <f>+TH!G209</f>
        <v>2026</v>
      </c>
      <c r="E205" s="32">
        <f>+TH!H209</f>
        <v>9</v>
      </c>
      <c r="F205" s="32">
        <f>+TH!I209</f>
        <v>0</v>
      </c>
      <c r="G205" s="32" t="str">
        <f>+TH!J209</f>
        <v>D</v>
      </c>
      <c r="H205" s="30">
        <f>+TH!K209</f>
        <v>46154</v>
      </c>
      <c r="I205" s="32" t="str">
        <f>+TH!L209</f>
        <v>NORMA</v>
      </c>
      <c r="J205" s="31">
        <f>+TH!M209</f>
        <v>0</v>
      </c>
      <c r="K205" s="31">
        <f>+TH!N209</f>
        <v>0</v>
      </c>
    </row>
    <row r="206" spans="1:11" x14ac:dyDescent="0.3">
      <c r="A206" s="32">
        <v>40</v>
      </c>
      <c r="B206" s="32">
        <f>+TH!E210</f>
        <v>0</v>
      </c>
      <c r="C206" s="32">
        <f>+TH!F210</f>
        <v>0</v>
      </c>
      <c r="D206" s="32">
        <f>+TH!G210</f>
        <v>2026</v>
      </c>
      <c r="E206" s="32">
        <f>+TH!H210</f>
        <v>9</v>
      </c>
      <c r="F206" s="32">
        <f>+TH!I210</f>
        <v>0</v>
      </c>
      <c r="G206" s="32" t="str">
        <f>+TH!J210</f>
        <v>D</v>
      </c>
      <c r="H206" s="30">
        <f>+TH!K210</f>
        <v>46154</v>
      </c>
      <c r="I206" s="32" t="str">
        <f>+TH!L210</f>
        <v>NORMA</v>
      </c>
      <c r="J206" s="31">
        <f>+TH!M210</f>
        <v>0</v>
      </c>
      <c r="K206" s="31">
        <f>+TH!N210</f>
        <v>0</v>
      </c>
    </row>
    <row r="207" spans="1:11" x14ac:dyDescent="0.3">
      <c r="A207" s="32">
        <v>40</v>
      </c>
      <c r="B207" s="32">
        <f>+TH!E211</f>
        <v>0</v>
      </c>
      <c r="C207" s="32">
        <f>+TH!F211</f>
        <v>0</v>
      </c>
      <c r="D207" s="32">
        <f>+TH!G211</f>
        <v>2026</v>
      </c>
      <c r="E207" s="32">
        <f>+TH!H211</f>
        <v>9</v>
      </c>
      <c r="F207" s="32">
        <f>+TH!I211</f>
        <v>0</v>
      </c>
      <c r="G207" s="32" t="str">
        <f>+TH!J211</f>
        <v>D</v>
      </c>
      <c r="H207" s="30">
        <f>+TH!K211</f>
        <v>46154</v>
      </c>
      <c r="I207" s="32" t="str">
        <f>+TH!L211</f>
        <v>NORMA</v>
      </c>
      <c r="J207" s="31">
        <f>+TH!M211</f>
        <v>0</v>
      </c>
      <c r="K207" s="31">
        <f>+TH!N211</f>
        <v>0</v>
      </c>
    </row>
    <row r="208" spans="1:11" x14ac:dyDescent="0.3">
      <c r="A208" s="32">
        <v>40</v>
      </c>
      <c r="B208" s="32">
        <f>+TH!E212</f>
        <v>0</v>
      </c>
      <c r="C208" s="32">
        <f>+TH!F212</f>
        <v>0</v>
      </c>
      <c r="D208" s="32">
        <f>+TH!G212</f>
        <v>2026</v>
      </c>
      <c r="E208" s="32">
        <f>+TH!H212</f>
        <v>9</v>
      </c>
      <c r="F208" s="32">
        <f>+TH!I212</f>
        <v>0</v>
      </c>
      <c r="G208" s="32" t="str">
        <f>+TH!J212</f>
        <v>D</v>
      </c>
      <c r="H208" s="30">
        <f>+TH!K212</f>
        <v>46154</v>
      </c>
      <c r="I208" s="32" t="str">
        <f>+TH!L212</f>
        <v>NORMA</v>
      </c>
      <c r="J208" s="31">
        <f>+TH!M212</f>
        <v>0</v>
      </c>
      <c r="K208" s="31">
        <f>+TH!N212</f>
        <v>0</v>
      </c>
    </row>
    <row r="209" spans="1:11" x14ac:dyDescent="0.3">
      <c r="A209" s="32">
        <v>40</v>
      </c>
      <c r="B209" s="32">
        <f>+TH!E213</f>
        <v>0</v>
      </c>
      <c r="C209" s="32">
        <f>+TH!F213</f>
        <v>0</v>
      </c>
      <c r="D209" s="32">
        <f>+TH!G213</f>
        <v>2026</v>
      </c>
      <c r="E209" s="32">
        <f>+TH!H213</f>
        <v>9</v>
      </c>
      <c r="F209" s="32">
        <f>+TH!I213</f>
        <v>0</v>
      </c>
      <c r="G209" s="32" t="str">
        <f>+TH!J213</f>
        <v>D</v>
      </c>
      <c r="H209" s="30">
        <f>+TH!K213</f>
        <v>46154</v>
      </c>
      <c r="I209" s="32" t="str">
        <f>+TH!L213</f>
        <v>NORMA</v>
      </c>
      <c r="J209" s="31">
        <f>+TH!M213</f>
        <v>0</v>
      </c>
      <c r="K209" s="31">
        <f>+TH!N213</f>
        <v>0</v>
      </c>
    </row>
    <row r="210" spans="1:11" x14ac:dyDescent="0.3">
      <c r="A210" s="32">
        <v>40</v>
      </c>
      <c r="B210" s="32">
        <f>+TH!E214</f>
        <v>0</v>
      </c>
      <c r="C210" s="32">
        <f>+TH!F214</f>
        <v>0</v>
      </c>
      <c r="D210" s="32">
        <f>+TH!G214</f>
        <v>2026</v>
      </c>
      <c r="E210" s="32">
        <f>+TH!H214</f>
        <v>9</v>
      </c>
      <c r="F210" s="32">
        <f>+TH!I214</f>
        <v>0</v>
      </c>
      <c r="G210" s="32" t="str">
        <f>+TH!J214</f>
        <v>D</v>
      </c>
      <c r="H210" s="30">
        <f>+TH!K214</f>
        <v>46154</v>
      </c>
      <c r="I210" s="32" t="str">
        <f>+TH!L214</f>
        <v>NORMA</v>
      </c>
      <c r="J210" s="31">
        <f>+TH!M214</f>
        <v>0</v>
      </c>
      <c r="K210" s="31">
        <f>+TH!N214</f>
        <v>0</v>
      </c>
    </row>
    <row r="211" spans="1:11" x14ac:dyDescent="0.3">
      <c r="A211" s="32">
        <v>40</v>
      </c>
      <c r="B211" s="32">
        <f>+TH!E215</f>
        <v>0</v>
      </c>
      <c r="C211" s="32">
        <f>+TH!F215</f>
        <v>0</v>
      </c>
      <c r="D211" s="32">
        <f>+TH!G215</f>
        <v>2026</v>
      </c>
      <c r="E211" s="32">
        <f>+TH!H215</f>
        <v>9</v>
      </c>
      <c r="F211" s="32">
        <f>+TH!I215</f>
        <v>0</v>
      </c>
      <c r="G211" s="32" t="str">
        <f>+TH!J215</f>
        <v>D</v>
      </c>
      <c r="H211" s="30">
        <f>+TH!K215</f>
        <v>46154</v>
      </c>
      <c r="I211" s="32" t="str">
        <f>+TH!L215</f>
        <v>NORMA</v>
      </c>
      <c r="J211" s="31">
        <f>+TH!M215</f>
        <v>0</v>
      </c>
      <c r="K211" s="31">
        <f>+TH!N215</f>
        <v>0</v>
      </c>
    </row>
    <row r="212" spans="1:11" x14ac:dyDescent="0.3">
      <c r="A212" s="32">
        <v>40</v>
      </c>
      <c r="B212" s="32">
        <f>+TH!E216</f>
        <v>0</v>
      </c>
      <c r="C212" s="32">
        <f>+TH!F216</f>
        <v>0</v>
      </c>
      <c r="D212" s="32">
        <f>+TH!G216</f>
        <v>2026</v>
      </c>
      <c r="E212" s="32">
        <f>+TH!H216</f>
        <v>9</v>
      </c>
      <c r="F212" s="32">
        <f>+TH!I216</f>
        <v>0</v>
      </c>
      <c r="G212" s="32" t="str">
        <f>+TH!J216</f>
        <v>D</v>
      </c>
      <c r="H212" s="30">
        <f>+TH!K216</f>
        <v>46154</v>
      </c>
      <c r="I212" s="32" t="str">
        <f>+TH!L216</f>
        <v>NORMA</v>
      </c>
      <c r="J212" s="31">
        <f>+TH!M216</f>
        <v>0</v>
      </c>
      <c r="K212" s="31">
        <f>+TH!N216</f>
        <v>0</v>
      </c>
    </row>
    <row r="213" spans="1:11" x14ac:dyDescent="0.3">
      <c r="A213" s="32">
        <v>40</v>
      </c>
      <c r="B213" s="32">
        <f>+TH!E217</f>
        <v>0</v>
      </c>
      <c r="C213" s="32">
        <f>+TH!F217</f>
        <v>0</v>
      </c>
      <c r="D213" s="32">
        <f>+TH!G217</f>
        <v>2026</v>
      </c>
      <c r="E213" s="32">
        <f>+TH!H217</f>
        <v>9</v>
      </c>
      <c r="F213" s="32">
        <f>+TH!I217</f>
        <v>0</v>
      </c>
      <c r="G213" s="32" t="str">
        <f>+TH!J217</f>
        <v>D</v>
      </c>
      <c r="H213" s="30">
        <f>+TH!K217</f>
        <v>46154</v>
      </c>
      <c r="I213" s="32" t="str">
        <f>+TH!L217</f>
        <v>NORMA</v>
      </c>
      <c r="J213" s="31">
        <f>+TH!M217</f>
        <v>0</v>
      </c>
      <c r="K213" s="31">
        <f>+TH!N217</f>
        <v>0</v>
      </c>
    </row>
    <row r="214" spans="1:11" x14ac:dyDescent="0.3">
      <c r="A214" s="32">
        <v>40</v>
      </c>
      <c r="B214" s="32">
        <f>+TH!E218</f>
        <v>0</v>
      </c>
      <c r="C214" s="32">
        <f>+TH!F218</f>
        <v>0</v>
      </c>
      <c r="D214" s="32">
        <f>+TH!G218</f>
        <v>2026</v>
      </c>
      <c r="E214" s="32">
        <f>+TH!H218</f>
        <v>9</v>
      </c>
      <c r="F214" s="32">
        <f>+TH!I218</f>
        <v>0</v>
      </c>
      <c r="G214" s="32" t="str">
        <f>+TH!J218</f>
        <v>D</v>
      </c>
      <c r="H214" s="30">
        <f>+TH!K218</f>
        <v>46154</v>
      </c>
      <c r="I214" s="32" t="str">
        <f>+TH!L218</f>
        <v>NORMA</v>
      </c>
      <c r="J214" s="31">
        <f>+TH!M218</f>
        <v>0</v>
      </c>
      <c r="K214" s="31">
        <f>+TH!N218</f>
        <v>0</v>
      </c>
    </row>
    <row r="215" spans="1:11" x14ac:dyDescent="0.3">
      <c r="A215" s="32">
        <v>40</v>
      </c>
      <c r="B215" s="32">
        <f>+TH!E219</f>
        <v>0</v>
      </c>
      <c r="C215" s="32">
        <f>+TH!F219</f>
        <v>0</v>
      </c>
      <c r="D215" s="32">
        <f>+TH!G219</f>
        <v>2026</v>
      </c>
      <c r="E215" s="32">
        <f>+TH!H219</f>
        <v>9</v>
      </c>
      <c r="F215" s="32">
        <f>+TH!I219</f>
        <v>0</v>
      </c>
      <c r="G215" s="32" t="str">
        <f>+TH!J219</f>
        <v>D</v>
      </c>
      <c r="H215" s="30">
        <f>+TH!K219</f>
        <v>46154</v>
      </c>
      <c r="I215" s="32" t="str">
        <f>+TH!L219</f>
        <v>NORMA</v>
      </c>
      <c r="J215" s="31">
        <f>+TH!M219</f>
        <v>0</v>
      </c>
      <c r="K215" s="31">
        <f>+TH!N219</f>
        <v>0</v>
      </c>
    </row>
    <row r="216" spans="1:11" x14ac:dyDescent="0.3">
      <c r="A216" s="32">
        <v>40</v>
      </c>
      <c r="B216" s="32">
        <f>+TH!E220</f>
        <v>0</v>
      </c>
      <c r="C216" s="32">
        <f>+TH!F220</f>
        <v>0</v>
      </c>
      <c r="D216" s="32">
        <f>+TH!G220</f>
        <v>2026</v>
      </c>
      <c r="E216" s="32">
        <f>+TH!H220</f>
        <v>9</v>
      </c>
      <c r="F216" s="32">
        <f>+TH!I220</f>
        <v>0</v>
      </c>
      <c r="G216" s="32" t="str">
        <f>+TH!J220</f>
        <v>D</v>
      </c>
      <c r="H216" s="30">
        <f>+TH!K220</f>
        <v>46154</v>
      </c>
      <c r="I216" s="32" t="str">
        <f>+TH!L220</f>
        <v>NORMA</v>
      </c>
      <c r="J216" s="31">
        <f>+TH!M220</f>
        <v>0</v>
      </c>
      <c r="K216" s="31">
        <f>+TH!N220</f>
        <v>0</v>
      </c>
    </row>
    <row r="217" spans="1:11" x14ac:dyDescent="0.3">
      <c r="A217" s="32">
        <v>40</v>
      </c>
      <c r="B217" s="32">
        <f>+TH!E221</f>
        <v>0</v>
      </c>
      <c r="C217" s="32">
        <f>+TH!F221</f>
        <v>0</v>
      </c>
      <c r="D217" s="32">
        <f>+TH!G221</f>
        <v>2026</v>
      </c>
      <c r="E217" s="32">
        <f>+TH!H221</f>
        <v>9</v>
      </c>
      <c r="F217" s="32">
        <f>+TH!I221</f>
        <v>0</v>
      </c>
      <c r="G217" s="32" t="str">
        <f>+TH!J221</f>
        <v>D</v>
      </c>
      <c r="H217" s="30">
        <f>+TH!K221</f>
        <v>46154</v>
      </c>
      <c r="I217" s="32" t="str">
        <f>+TH!L221</f>
        <v>NORMA</v>
      </c>
      <c r="J217" s="31">
        <f>+TH!M221</f>
        <v>0</v>
      </c>
      <c r="K217" s="31">
        <f>+TH!N221</f>
        <v>0</v>
      </c>
    </row>
    <row r="218" spans="1:11" x14ac:dyDescent="0.3">
      <c r="A218" s="32">
        <v>40</v>
      </c>
      <c r="B218" s="32">
        <f>+TH!E222</f>
        <v>0</v>
      </c>
      <c r="C218" s="32">
        <f>+TH!F222</f>
        <v>0</v>
      </c>
      <c r="D218" s="32">
        <f>+TH!G222</f>
        <v>2026</v>
      </c>
      <c r="E218" s="32">
        <f>+TH!H222</f>
        <v>9</v>
      </c>
      <c r="F218" s="32">
        <f>+TH!I222</f>
        <v>0</v>
      </c>
      <c r="G218" s="32" t="str">
        <f>+TH!J222</f>
        <v>D</v>
      </c>
      <c r="H218" s="30">
        <f>+TH!K222</f>
        <v>46154</v>
      </c>
      <c r="I218" s="32" t="str">
        <f>+TH!L222</f>
        <v>NORMA</v>
      </c>
      <c r="J218" s="31">
        <f>+TH!M222</f>
        <v>0</v>
      </c>
      <c r="K218" s="31">
        <f>+TH!N222</f>
        <v>0</v>
      </c>
    </row>
    <row r="219" spans="1:11" x14ac:dyDescent="0.3">
      <c r="A219" s="32">
        <v>40</v>
      </c>
      <c r="B219" s="32">
        <f>+TH!E223</f>
        <v>0</v>
      </c>
      <c r="C219" s="32">
        <f>+TH!F223</f>
        <v>0</v>
      </c>
      <c r="D219" s="32">
        <f>+TH!G223</f>
        <v>2026</v>
      </c>
      <c r="E219" s="32">
        <f>+TH!H223</f>
        <v>9</v>
      </c>
      <c r="F219" s="32">
        <f>+TH!I223</f>
        <v>0</v>
      </c>
      <c r="G219" s="32" t="str">
        <f>+TH!J223</f>
        <v>D</v>
      </c>
      <c r="H219" s="30">
        <f>+TH!K223</f>
        <v>46154</v>
      </c>
      <c r="I219" s="32" t="str">
        <f>+TH!L223</f>
        <v>NORMA</v>
      </c>
      <c r="J219" s="31">
        <f>+TH!M223</f>
        <v>0</v>
      </c>
      <c r="K219" s="31">
        <f>+TH!N223</f>
        <v>0</v>
      </c>
    </row>
    <row r="220" spans="1:11" x14ac:dyDescent="0.3">
      <c r="A220" s="32">
        <v>40</v>
      </c>
      <c r="B220" s="32">
        <f>+TH!E224</f>
        <v>0</v>
      </c>
      <c r="C220" s="32">
        <f>+TH!F224</f>
        <v>0</v>
      </c>
      <c r="D220" s="32">
        <f>+TH!G224</f>
        <v>2026</v>
      </c>
      <c r="E220" s="32">
        <f>+TH!H224</f>
        <v>9</v>
      </c>
      <c r="F220" s="32">
        <f>+TH!I224</f>
        <v>0</v>
      </c>
      <c r="G220" s="32" t="str">
        <f>+TH!J224</f>
        <v>D</v>
      </c>
      <c r="H220" s="30">
        <f>+TH!K224</f>
        <v>46154</v>
      </c>
      <c r="I220" s="32" t="str">
        <f>+TH!L224</f>
        <v>NORMA</v>
      </c>
      <c r="J220" s="31">
        <f>+TH!M224</f>
        <v>0</v>
      </c>
      <c r="K220" s="31">
        <f>+TH!N224</f>
        <v>0</v>
      </c>
    </row>
    <row r="221" spans="1:11" x14ac:dyDescent="0.3">
      <c r="A221" s="32">
        <v>40</v>
      </c>
      <c r="B221" s="32">
        <f>+TH!E225</f>
        <v>0</v>
      </c>
      <c r="C221" s="32">
        <f>+TH!F225</f>
        <v>0</v>
      </c>
      <c r="D221" s="32">
        <f>+TH!G225</f>
        <v>2026</v>
      </c>
      <c r="E221" s="32">
        <f>+TH!H225</f>
        <v>9</v>
      </c>
      <c r="F221" s="32">
        <f>+TH!I225</f>
        <v>0</v>
      </c>
      <c r="G221" s="32" t="str">
        <f>+TH!J225</f>
        <v>D</v>
      </c>
      <c r="H221" s="30">
        <f>+TH!K225</f>
        <v>46154</v>
      </c>
      <c r="I221" s="32" t="str">
        <f>+TH!L225</f>
        <v>NORMA</v>
      </c>
      <c r="J221" s="31">
        <f>+TH!M225</f>
        <v>0</v>
      </c>
      <c r="K221" s="31">
        <f>+TH!N225</f>
        <v>0</v>
      </c>
    </row>
    <row r="222" spans="1:11" x14ac:dyDescent="0.3">
      <c r="A222" s="32">
        <v>40</v>
      </c>
      <c r="B222" s="32">
        <f>+TH!E226</f>
        <v>0</v>
      </c>
      <c r="C222" s="32">
        <f>+TH!F226</f>
        <v>0</v>
      </c>
      <c r="D222" s="32">
        <f>+TH!G226</f>
        <v>2026</v>
      </c>
      <c r="E222" s="32">
        <f>+TH!H226</f>
        <v>9</v>
      </c>
      <c r="F222" s="32">
        <f>+TH!I226</f>
        <v>0</v>
      </c>
      <c r="G222" s="32" t="str">
        <f>+TH!J226</f>
        <v>D</v>
      </c>
      <c r="H222" s="30">
        <f>+TH!K226</f>
        <v>46154</v>
      </c>
      <c r="I222" s="32" t="str">
        <f>+TH!L226</f>
        <v>NORMA</v>
      </c>
      <c r="J222" s="31">
        <f>+TH!M226</f>
        <v>0</v>
      </c>
      <c r="K222" s="31">
        <f>+TH!N226</f>
        <v>0</v>
      </c>
    </row>
    <row r="223" spans="1:11" x14ac:dyDescent="0.3">
      <c r="A223" s="32">
        <v>40</v>
      </c>
      <c r="B223" s="32">
        <f>+TH!E227</f>
        <v>0</v>
      </c>
      <c r="C223" s="32">
        <f>+TH!F227</f>
        <v>0</v>
      </c>
      <c r="D223" s="32">
        <f>+TH!G227</f>
        <v>2026</v>
      </c>
      <c r="E223" s="32">
        <f>+TH!H227</f>
        <v>9</v>
      </c>
      <c r="F223" s="32">
        <f>+TH!I227</f>
        <v>0</v>
      </c>
      <c r="G223" s="32" t="str">
        <f>+TH!J227</f>
        <v>D</v>
      </c>
      <c r="H223" s="30">
        <f>+TH!K227</f>
        <v>46154</v>
      </c>
      <c r="I223" s="32" t="str">
        <f>+TH!L227</f>
        <v>NORMA</v>
      </c>
      <c r="J223" s="31">
        <f>+TH!M227</f>
        <v>0</v>
      </c>
      <c r="K223" s="31">
        <f>+TH!N227</f>
        <v>0</v>
      </c>
    </row>
    <row r="224" spans="1:11" x14ac:dyDescent="0.3">
      <c r="A224" s="32">
        <v>40</v>
      </c>
      <c r="B224" s="32">
        <f>+TH!E228</f>
        <v>0</v>
      </c>
      <c r="C224" s="32">
        <f>+TH!F228</f>
        <v>0</v>
      </c>
      <c r="D224" s="32">
        <f>+TH!G228</f>
        <v>2026</v>
      </c>
      <c r="E224" s="32">
        <f>+TH!H228</f>
        <v>9</v>
      </c>
      <c r="F224" s="32">
        <f>+TH!I228</f>
        <v>0</v>
      </c>
      <c r="G224" s="32" t="str">
        <f>+TH!J228</f>
        <v>D</v>
      </c>
      <c r="H224" s="30">
        <f>+TH!K228</f>
        <v>46154</v>
      </c>
      <c r="I224" s="32" t="str">
        <f>+TH!L228</f>
        <v>NORMA</v>
      </c>
      <c r="J224" s="31">
        <f>+TH!M228</f>
        <v>0</v>
      </c>
      <c r="K224" s="31">
        <f>+TH!N228</f>
        <v>0</v>
      </c>
    </row>
    <row r="225" spans="1:11" x14ac:dyDescent="0.3">
      <c r="A225" s="32">
        <v>40</v>
      </c>
      <c r="B225" s="32">
        <f>+TH!E229</f>
        <v>0</v>
      </c>
      <c r="C225" s="32">
        <f>+TH!F229</f>
        <v>0</v>
      </c>
      <c r="D225" s="32">
        <f>+TH!G229</f>
        <v>2026</v>
      </c>
      <c r="E225" s="32">
        <f>+TH!H229</f>
        <v>9</v>
      </c>
      <c r="F225" s="32">
        <f>+TH!I229</f>
        <v>0</v>
      </c>
      <c r="G225" s="32" t="str">
        <f>+TH!J229</f>
        <v>D</v>
      </c>
      <c r="H225" s="30">
        <f>+TH!K229</f>
        <v>46154</v>
      </c>
      <c r="I225" s="32" t="str">
        <f>+TH!L229</f>
        <v>NORMA</v>
      </c>
      <c r="J225" s="31">
        <f>+TH!M229</f>
        <v>0</v>
      </c>
      <c r="K225" s="31">
        <f>+TH!N229</f>
        <v>0</v>
      </c>
    </row>
    <row r="226" spans="1:11" x14ac:dyDescent="0.3">
      <c r="A226" s="32">
        <v>40</v>
      </c>
      <c r="B226" s="32">
        <f>+TH!E230</f>
        <v>0</v>
      </c>
      <c r="C226" s="32">
        <f>+TH!F230</f>
        <v>0</v>
      </c>
      <c r="D226" s="32">
        <f>+TH!G230</f>
        <v>2026</v>
      </c>
      <c r="E226" s="32">
        <f>+TH!H230</f>
        <v>9</v>
      </c>
      <c r="F226" s="32">
        <f>+TH!I230</f>
        <v>0</v>
      </c>
      <c r="G226" s="32" t="str">
        <f>+TH!J230</f>
        <v>D</v>
      </c>
      <c r="H226" s="30">
        <f>+TH!K230</f>
        <v>46154</v>
      </c>
      <c r="I226" s="32" t="str">
        <f>+TH!L230</f>
        <v>NORMA</v>
      </c>
      <c r="J226" s="31">
        <f>+TH!M230</f>
        <v>0</v>
      </c>
      <c r="K226" s="31">
        <f>+TH!N230</f>
        <v>0</v>
      </c>
    </row>
    <row r="227" spans="1:11" x14ac:dyDescent="0.3">
      <c r="A227" s="32">
        <v>40</v>
      </c>
      <c r="B227" s="32">
        <f>+TH!E231</f>
        <v>0</v>
      </c>
      <c r="C227" s="32">
        <f>+TH!F231</f>
        <v>0</v>
      </c>
      <c r="D227" s="32">
        <f>+TH!G231</f>
        <v>2026</v>
      </c>
      <c r="E227" s="32">
        <f>+TH!H231</f>
        <v>9</v>
      </c>
      <c r="F227" s="32">
        <f>+TH!I231</f>
        <v>0</v>
      </c>
      <c r="G227" s="32" t="str">
        <f>+TH!J231</f>
        <v>D</v>
      </c>
      <c r="H227" s="30">
        <f>+TH!K231</f>
        <v>46154</v>
      </c>
      <c r="I227" s="32" t="str">
        <f>+TH!L231</f>
        <v>NORMA</v>
      </c>
      <c r="J227" s="31">
        <f>+TH!M231</f>
        <v>0</v>
      </c>
      <c r="K227" s="31">
        <f>+TH!N231</f>
        <v>0</v>
      </c>
    </row>
    <row r="228" spans="1:11" x14ac:dyDescent="0.3">
      <c r="A228" s="32">
        <v>40</v>
      </c>
      <c r="B228" s="32">
        <f>+TH!E232</f>
        <v>0</v>
      </c>
      <c r="C228" s="32">
        <f>+TH!F232</f>
        <v>0</v>
      </c>
      <c r="D228" s="32">
        <f>+TH!G232</f>
        <v>2026</v>
      </c>
      <c r="E228" s="32">
        <f>+TH!H232</f>
        <v>9</v>
      </c>
      <c r="F228" s="32">
        <f>+TH!I232</f>
        <v>0</v>
      </c>
      <c r="G228" s="32" t="str">
        <f>+TH!J232</f>
        <v>D</v>
      </c>
      <c r="H228" s="30">
        <f>+TH!K232</f>
        <v>46154</v>
      </c>
      <c r="I228" s="32" t="str">
        <f>+TH!L232</f>
        <v>NORMA</v>
      </c>
      <c r="J228" s="31">
        <f>+TH!M232</f>
        <v>0</v>
      </c>
      <c r="K228" s="31">
        <f>+TH!N232</f>
        <v>0</v>
      </c>
    </row>
    <row r="229" spans="1:11" x14ac:dyDescent="0.3">
      <c r="A229" s="32">
        <v>40</v>
      </c>
      <c r="B229" s="32">
        <f>+TH!E233</f>
        <v>0</v>
      </c>
      <c r="C229" s="32">
        <f>+TH!F233</f>
        <v>0</v>
      </c>
      <c r="D229" s="32">
        <f>+TH!G233</f>
        <v>2026</v>
      </c>
      <c r="E229" s="32">
        <f>+TH!H233</f>
        <v>9</v>
      </c>
      <c r="F229" s="32">
        <f>+TH!I233</f>
        <v>0</v>
      </c>
      <c r="G229" s="32" t="str">
        <f>+TH!J233</f>
        <v>D</v>
      </c>
      <c r="H229" s="30">
        <f>+TH!K233</f>
        <v>46154</v>
      </c>
      <c r="I229" s="32" t="str">
        <f>+TH!L233</f>
        <v>NORMA</v>
      </c>
      <c r="J229" s="31">
        <f>+TH!M233</f>
        <v>0</v>
      </c>
      <c r="K229" s="31">
        <f>+TH!N233</f>
        <v>0</v>
      </c>
    </row>
    <row r="230" spans="1:11" x14ac:dyDescent="0.3">
      <c r="A230" s="32">
        <v>40</v>
      </c>
      <c r="B230" s="32">
        <f>+TH!E234</f>
        <v>0</v>
      </c>
      <c r="C230" s="32">
        <f>+TH!F234</f>
        <v>0</v>
      </c>
      <c r="D230" s="32">
        <f>+TH!G234</f>
        <v>2026</v>
      </c>
      <c r="E230" s="32">
        <f>+TH!H234</f>
        <v>9</v>
      </c>
      <c r="F230" s="32">
        <f>+TH!I234</f>
        <v>0</v>
      </c>
      <c r="G230" s="32" t="str">
        <f>+TH!J234</f>
        <v>D</v>
      </c>
      <c r="H230" s="30">
        <f>+TH!K234</f>
        <v>46154</v>
      </c>
      <c r="I230" s="32" t="str">
        <f>+TH!L234</f>
        <v>NORMA</v>
      </c>
      <c r="J230" s="31">
        <f>+TH!M234</f>
        <v>0</v>
      </c>
      <c r="K230" s="31">
        <f>+TH!N234</f>
        <v>0</v>
      </c>
    </row>
    <row r="231" spans="1:11" x14ac:dyDescent="0.3">
      <c r="A231" s="32">
        <v>40</v>
      </c>
      <c r="B231" s="32">
        <f>+TH!E235</f>
        <v>0</v>
      </c>
      <c r="C231" s="32">
        <f>+TH!F235</f>
        <v>0</v>
      </c>
      <c r="D231" s="32">
        <f>+TH!G235</f>
        <v>2026</v>
      </c>
      <c r="E231" s="32">
        <f>+TH!H235</f>
        <v>9</v>
      </c>
      <c r="F231" s="32">
        <f>+TH!I235</f>
        <v>0</v>
      </c>
      <c r="G231" s="32" t="str">
        <f>+TH!J235</f>
        <v>D</v>
      </c>
      <c r="H231" s="30">
        <f>+TH!K235</f>
        <v>46154</v>
      </c>
      <c r="I231" s="32" t="str">
        <f>+TH!L235</f>
        <v>NORMA</v>
      </c>
      <c r="J231" s="31">
        <f>+TH!M235</f>
        <v>0</v>
      </c>
      <c r="K231" s="31">
        <f>+TH!N235</f>
        <v>0</v>
      </c>
    </row>
    <row r="232" spans="1:11" x14ac:dyDescent="0.3">
      <c r="A232" s="32">
        <v>40</v>
      </c>
      <c r="B232" s="32">
        <f>+TH!E236</f>
        <v>0</v>
      </c>
      <c r="C232" s="32">
        <f>+TH!F236</f>
        <v>0</v>
      </c>
      <c r="D232" s="32">
        <f>+TH!G236</f>
        <v>2026</v>
      </c>
      <c r="E232" s="32">
        <f>+TH!H236</f>
        <v>9</v>
      </c>
      <c r="F232" s="32">
        <f>+TH!I236</f>
        <v>0</v>
      </c>
      <c r="G232" s="32" t="str">
        <f>+TH!J236</f>
        <v>D</v>
      </c>
      <c r="H232" s="30">
        <f>+TH!K236</f>
        <v>46154</v>
      </c>
      <c r="I232" s="32" t="str">
        <f>+TH!L236</f>
        <v>NORMA</v>
      </c>
      <c r="J232" s="31">
        <f>+TH!M236</f>
        <v>0</v>
      </c>
      <c r="K232" s="31">
        <f>+TH!N236</f>
        <v>0</v>
      </c>
    </row>
    <row r="233" spans="1:11" x14ac:dyDescent="0.3">
      <c r="A233" s="32">
        <v>40</v>
      </c>
      <c r="B233" s="32">
        <f>+TH!E237</f>
        <v>0</v>
      </c>
      <c r="C233" s="32">
        <f>+TH!F237</f>
        <v>0</v>
      </c>
      <c r="D233" s="32">
        <f>+TH!G237</f>
        <v>2026</v>
      </c>
      <c r="E233" s="32">
        <f>+TH!H237</f>
        <v>9</v>
      </c>
      <c r="F233" s="32">
        <f>+TH!I237</f>
        <v>0</v>
      </c>
      <c r="G233" s="32" t="str">
        <f>+TH!J237</f>
        <v>D</v>
      </c>
      <c r="H233" s="30">
        <f>+TH!K237</f>
        <v>46154</v>
      </c>
      <c r="I233" s="32" t="str">
        <f>+TH!L237</f>
        <v>NORMA</v>
      </c>
      <c r="J233" s="31">
        <f>+TH!M237</f>
        <v>0</v>
      </c>
      <c r="K233" s="31">
        <f>+TH!N237</f>
        <v>0</v>
      </c>
    </row>
    <row r="234" spans="1:11" x14ac:dyDescent="0.3">
      <c r="A234" s="32">
        <v>40</v>
      </c>
      <c r="B234" s="32">
        <f>+TH!E238</f>
        <v>0</v>
      </c>
      <c r="C234" s="32">
        <f>+TH!F238</f>
        <v>0</v>
      </c>
      <c r="D234" s="32">
        <f>+TH!G238</f>
        <v>2026</v>
      </c>
      <c r="E234" s="32">
        <f>+TH!H238</f>
        <v>9</v>
      </c>
      <c r="F234" s="32">
        <f>+TH!I238</f>
        <v>0</v>
      </c>
      <c r="G234" s="32" t="str">
        <f>+TH!J238</f>
        <v>D</v>
      </c>
      <c r="H234" s="30">
        <f>+TH!K238</f>
        <v>46154</v>
      </c>
      <c r="I234" s="32" t="str">
        <f>+TH!L238</f>
        <v>NORMA</v>
      </c>
      <c r="J234" s="31">
        <f>+TH!M238</f>
        <v>0</v>
      </c>
      <c r="K234" s="31">
        <f>+TH!N238</f>
        <v>0</v>
      </c>
    </row>
    <row r="235" spans="1:11" x14ac:dyDescent="0.3">
      <c r="A235" s="32">
        <v>40</v>
      </c>
      <c r="B235" s="32">
        <f>+TH!E239</f>
        <v>0</v>
      </c>
      <c r="C235" s="32">
        <f>+TH!F239</f>
        <v>0</v>
      </c>
      <c r="D235" s="32">
        <f>+TH!G239</f>
        <v>2026</v>
      </c>
      <c r="E235" s="32">
        <f>+TH!H239</f>
        <v>9</v>
      </c>
      <c r="F235" s="32">
        <f>+TH!I239</f>
        <v>0</v>
      </c>
      <c r="G235" s="32" t="str">
        <f>+TH!J239</f>
        <v>D</v>
      </c>
      <c r="H235" s="30">
        <f>+TH!K239</f>
        <v>46154</v>
      </c>
      <c r="I235" s="32" t="str">
        <f>+TH!L239</f>
        <v>NORMA</v>
      </c>
      <c r="J235" s="31">
        <f>+TH!M239</f>
        <v>0</v>
      </c>
      <c r="K235" s="31">
        <f>+TH!N239</f>
        <v>0</v>
      </c>
    </row>
    <row r="236" spans="1:11" x14ac:dyDescent="0.3">
      <c r="A236" s="32">
        <v>40</v>
      </c>
      <c r="B236" s="32">
        <f>+TH!E240</f>
        <v>0</v>
      </c>
      <c r="C236" s="32">
        <f>+TH!F240</f>
        <v>0</v>
      </c>
      <c r="D236" s="32">
        <f>+TH!G240</f>
        <v>2026</v>
      </c>
      <c r="E236" s="32">
        <f>+TH!H240</f>
        <v>9</v>
      </c>
      <c r="F236" s="32">
        <f>+TH!I240</f>
        <v>0</v>
      </c>
      <c r="G236" s="32" t="str">
        <f>+TH!J240</f>
        <v>D</v>
      </c>
      <c r="H236" s="30">
        <f>+TH!K240</f>
        <v>46154</v>
      </c>
      <c r="I236" s="32" t="str">
        <f>+TH!L240</f>
        <v>NORMA</v>
      </c>
      <c r="J236" s="31">
        <f>+TH!M240</f>
        <v>0</v>
      </c>
      <c r="K236" s="31">
        <f>+TH!N240</f>
        <v>0</v>
      </c>
    </row>
    <row r="237" spans="1:11" x14ac:dyDescent="0.3">
      <c r="A237" s="32">
        <v>40</v>
      </c>
      <c r="B237" s="32">
        <f>+TH!E241</f>
        <v>0</v>
      </c>
      <c r="C237" s="32">
        <f>+TH!F241</f>
        <v>0</v>
      </c>
      <c r="D237" s="32">
        <f>+TH!G241</f>
        <v>2026</v>
      </c>
      <c r="E237" s="32">
        <f>+TH!H241</f>
        <v>9</v>
      </c>
      <c r="F237" s="32">
        <f>+TH!I241</f>
        <v>0</v>
      </c>
      <c r="G237" s="32" t="str">
        <f>+TH!J241</f>
        <v>D</v>
      </c>
      <c r="H237" s="30">
        <f>+TH!K241</f>
        <v>46154</v>
      </c>
      <c r="I237" s="32" t="str">
        <f>+TH!L241</f>
        <v>NORMA</v>
      </c>
      <c r="J237" s="31">
        <f>+TH!M241</f>
        <v>0</v>
      </c>
      <c r="K237" s="31">
        <f>+TH!N241</f>
        <v>0</v>
      </c>
    </row>
    <row r="238" spans="1:11" x14ac:dyDescent="0.3">
      <c r="A238" s="32">
        <v>40</v>
      </c>
      <c r="B238" s="32">
        <f>+TH!E242</f>
        <v>0</v>
      </c>
      <c r="C238" s="32">
        <f>+TH!F242</f>
        <v>0</v>
      </c>
      <c r="D238" s="32">
        <f>+TH!G242</f>
        <v>2026</v>
      </c>
      <c r="E238" s="32">
        <f>+TH!H242</f>
        <v>9</v>
      </c>
      <c r="F238" s="32">
        <f>+TH!I242</f>
        <v>0</v>
      </c>
      <c r="G238" s="32" t="str">
        <f>+TH!J242</f>
        <v>D</v>
      </c>
      <c r="H238" s="30">
        <f>+TH!K242</f>
        <v>46154</v>
      </c>
      <c r="I238" s="32" t="str">
        <f>+TH!L242</f>
        <v>NORMA</v>
      </c>
      <c r="J238" s="31">
        <f>+TH!M242</f>
        <v>0</v>
      </c>
      <c r="K238" s="31">
        <f>+TH!N242</f>
        <v>0</v>
      </c>
    </row>
    <row r="239" spans="1:11" x14ac:dyDescent="0.3">
      <c r="A239" s="32">
        <v>40</v>
      </c>
      <c r="B239" s="32">
        <f>+TH!E243</f>
        <v>0</v>
      </c>
      <c r="C239" s="32">
        <f>+TH!F243</f>
        <v>0</v>
      </c>
      <c r="D239" s="32">
        <f>+TH!G243</f>
        <v>2026</v>
      </c>
      <c r="E239" s="32">
        <f>+TH!H243</f>
        <v>9</v>
      </c>
      <c r="F239" s="32">
        <f>+TH!I243</f>
        <v>0</v>
      </c>
      <c r="G239" s="32" t="str">
        <f>+TH!J243</f>
        <v>D</v>
      </c>
      <c r="H239" s="30">
        <f>+TH!K243</f>
        <v>46154</v>
      </c>
      <c r="I239" s="32" t="str">
        <f>+TH!L243</f>
        <v>NORMA</v>
      </c>
      <c r="J239" s="31">
        <f>+TH!M243</f>
        <v>0</v>
      </c>
      <c r="K239" s="31">
        <f>+TH!N243</f>
        <v>0</v>
      </c>
    </row>
    <row r="240" spans="1:11" x14ac:dyDescent="0.3">
      <c r="A240" s="32">
        <v>40</v>
      </c>
      <c r="B240" s="32">
        <f>+TH!E244</f>
        <v>0</v>
      </c>
      <c r="C240" s="32">
        <f>+TH!F244</f>
        <v>0</v>
      </c>
      <c r="D240" s="32">
        <f>+TH!G244</f>
        <v>2026</v>
      </c>
      <c r="E240" s="32">
        <f>+TH!H244</f>
        <v>9</v>
      </c>
      <c r="F240" s="32">
        <f>+TH!I244</f>
        <v>0</v>
      </c>
      <c r="G240" s="32" t="str">
        <f>+TH!J244</f>
        <v>D</v>
      </c>
      <c r="H240" s="30">
        <f>+TH!K244</f>
        <v>46154</v>
      </c>
      <c r="I240" s="32" t="str">
        <f>+TH!L244</f>
        <v>NORMA</v>
      </c>
      <c r="J240" s="31">
        <f>+TH!M244</f>
        <v>0</v>
      </c>
      <c r="K240" s="31">
        <f>+TH!N244</f>
        <v>0</v>
      </c>
    </row>
    <row r="241" spans="1:11" x14ac:dyDescent="0.3">
      <c r="A241" s="32">
        <v>40</v>
      </c>
      <c r="B241" s="32">
        <f>+TH!E245</f>
        <v>0</v>
      </c>
      <c r="C241" s="32">
        <f>+TH!F245</f>
        <v>0</v>
      </c>
      <c r="D241" s="32">
        <f>+TH!G245</f>
        <v>2026</v>
      </c>
      <c r="E241" s="32">
        <f>+TH!H245</f>
        <v>9</v>
      </c>
      <c r="F241" s="32">
        <f>+TH!I245</f>
        <v>0</v>
      </c>
      <c r="G241" s="32" t="str">
        <f>+TH!J245</f>
        <v>D</v>
      </c>
      <c r="H241" s="30">
        <f>+TH!K245</f>
        <v>46154</v>
      </c>
      <c r="I241" s="32" t="str">
        <f>+TH!L245</f>
        <v>NORMA</v>
      </c>
      <c r="J241" s="31">
        <f>+TH!M245</f>
        <v>0</v>
      </c>
      <c r="K241" s="31">
        <f>+TH!N245</f>
        <v>0</v>
      </c>
    </row>
    <row r="242" spans="1:11" x14ac:dyDescent="0.3">
      <c r="A242" s="32">
        <v>40</v>
      </c>
      <c r="B242" s="32">
        <f>+TH!E246</f>
        <v>0</v>
      </c>
      <c r="C242" s="32">
        <f>+TH!F246</f>
        <v>0</v>
      </c>
      <c r="D242" s="32">
        <f>+TH!G246</f>
        <v>2026</v>
      </c>
      <c r="E242" s="32">
        <f>+TH!H246</f>
        <v>9</v>
      </c>
      <c r="F242" s="32">
        <f>+TH!I246</f>
        <v>0</v>
      </c>
      <c r="G242" s="32" t="str">
        <f>+TH!J246</f>
        <v>D</v>
      </c>
      <c r="H242" s="30">
        <f>+TH!K246</f>
        <v>46154</v>
      </c>
      <c r="I242" s="32" t="str">
        <f>+TH!L246</f>
        <v>NORMA</v>
      </c>
      <c r="J242" s="31">
        <f>+TH!M246</f>
        <v>0</v>
      </c>
      <c r="K242" s="31">
        <f>+TH!N246</f>
        <v>0</v>
      </c>
    </row>
    <row r="243" spans="1:11" x14ac:dyDescent="0.3">
      <c r="A243" s="32">
        <v>40</v>
      </c>
      <c r="B243" s="32">
        <f>+TH!E247</f>
        <v>0</v>
      </c>
      <c r="C243" s="32">
        <f>+TH!F247</f>
        <v>0</v>
      </c>
      <c r="D243" s="32">
        <f>+TH!G247</f>
        <v>2026</v>
      </c>
      <c r="E243" s="32">
        <f>+TH!H247</f>
        <v>9</v>
      </c>
      <c r="F243" s="32">
        <f>+TH!I247</f>
        <v>0</v>
      </c>
      <c r="G243" s="32" t="str">
        <f>+TH!J247</f>
        <v>D</v>
      </c>
      <c r="H243" s="30">
        <f>+TH!K247</f>
        <v>46154</v>
      </c>
      <c r="I243" s="32" t="str">
        <f>+TH!L247</f>
        <v>NORMA</v>
      </c>
      <c r="J243" s="31">
        <f>+TH!M247</f>
        <v>0</v>
      </c>
      <c r="K243" s="31">
        <f>+TH!N247</f>
        <v>0</v>
      </c>
    </row>
    <row r="244" spans="1:11" x14ac:dyDescent="0.3">
      <c r="A244" s="32">
        <v>40</v>
      </c>
      <c r="B244" s="32">
        <f>+TH!E248</f>
        <v>0</v>
      </c>
      <c r="C244" s="32">
        <f>+TH!F248</f>
        <v>0</v>
      </c>
      <c r="D244" s="32">
        <f>+TH!G248</f>
        <v>2026</v>
      </c>
      <c r="E244" s="32">
        <f>+TH!H248</f>
        <v>9</v>
      </c>
      <c r="F244" s="32">
        <f>+TH!I248</f>
        <v>0</v>
      </c>
      <c r="G244" s="32" t="str">
        <f>+TH!J248</f>
        <v>D</v>
      </c>
      <c r="H244" s="30">
        <f>+TH!K248</f>
        <v>46154</v>
      </c>
      <c r="I244" s="32" t="str">
        <f>+TH!L248</f>
        <v>NORMA</v>
      </c>
      <c r="J244" s="31">
        <f>+TH!M248</f>
        <v>0</v>
      </c>
      <c r="K244" s="31">
        <f>+TH!N248</f>
        <v>0</v>
      </c>
    </row>
    <row r="245" spans="1:11" x14ac:dyDescent="0.3">
      <c r="A245" s="32">
        <v>40</v>
      </c>
      <c r="B245" s="32">
        <f>+TH!E249</f>
        <v>0</v>
      </c>
      <c r="C245" s="32">
        <f>+TH!F249</f>
        <v>0</v>
      </c>
      <c r="D245" s="32">
        <f>+TH!G249</f>
        <v>2026</v>
      </c>
      <c r="E245" s="32">
        <f>+TH!H249</f>
        <v>9</v>
      </c>
      <c r="F245" s="32">
        <f>+TH!I249</f>
        <v>0</v>
      </c>
      <c r="G245" s="32" t="str">
        <f>+TH!J249</f>
        <v>D</v>
      </c>
      <c r="H245" s="30">
        <f>+TH!K249</f>
        <v>46154</v>
      </c>
      <c r="I245" s="32" t="str">
        <f>+TH!L249</f>
        <v>NORMA</v>
      </c>
      <c r="J245" s="31">
        <f>+TH!M249</f>
        <v>0</v>
      </c>
      <c r="K245" s="31">
        <f>+TH!N249</f>
        <v>0</v>
      </c>
    </row>
    <row r="246" spans="1:11" x14ac:dyDescent="0.3">
      <c r="A246" s="32">
        <v>40</v>
      </c>
      <c r="B246" s="32">
        <f>+TH!E250</f>
        <v>0</v>
      </c>
      <c r="C246" s="32">
        <f>+TH!F250</f>
        <v>0</v>
      </c>
      <c r="D246" s="32">
        <f>+TH!G250</f>
        <v>2026</v>
      </c>
      <c r="E246" s="32">
        <f>+TH!H250</f>
        <v>9</v>
      </c>
      <c r="F246" s="32">
        <f>+TH!I250</f>
        <v>0</v>
      </c>
      <c r="G246" s="32" t="str">
        <f>+TH!J250</f>
        <v>D</v>
      </c>
      <c r="H246" s="30">
        <f>+TH!K250</f>
        <v>46154</v>
      </c>
      <c r="I246" s="32" t="str">
        <f>+TH!L250</f>
        <v>NORMA</v>
      </c>
      <c r="J246" s="31">
        <f>+TH!M250</f>
        <v>0</v>
      </c>
      <c r="K246" s="31">
        <f>+TH!N250</f>
        <v>0</v>
      </c>
    </row>
    <row r="247" spans="1:11" x14ac:dyDescent="0.3">
      <c r="A247" s="32">
        <v>40</v>
      </c>
      <c r="B247" s="32">
        <f>+TH!E251</f>
        <v>0</v>
      </c>
      <c r="C247" s="32">
        <f>+TH!F251</f>
        <v>0</v>
      </c>
      <c r="D247" s="32">
        <f>+TH!G251</f>
        <v>2026</v>
      </c>
      <c r="E247" s="32">
        <f>+TH!H251</f>
        <v>9</v>
      </c>
      <c r="F247" s="32">
        <f>+TH!I251</f>
        <v>0</v>
      </c>
      <c r="G247" s="32" t="str">
        <f>+TH!J251</f>
        <v>D</v>
      </c>
      <c r="H247" s="30">
        <f>+TH!K251</f>
        <v>46154</v>
      </c>
      <c r="I247" s="32" t="str">
        <f>+TH!L251</f>
        <v>NORMA</v>
      </c>
      <c r="J247" s="31">
        <f>+TH!M251</f>
        <v>0</v>
      </c>
      <c r="K247" s="31">
        <f>+TH!N251</f>
        <v>0</v>
      </c>
    </row>
    <row r="248" spans="1:11" x14ac:dyDescent="0.3">
      <c r="A248" s="32">
        <v>40</v>
      </c>
      <c r="B248" s="32">
        <f>+TH!E252</f>
        <v>0</v>
      </c>
      <c r="C248" s="32">
        <f>+TH!F252</f>
        <v>0</v>
      </c>
      <c r="D248" s="32">
        <f>+TH!G252</f>
        <v>2026</v>
      </c>
      <c r="E248" s="32">
        <f>+TH!H252</f>
        <v>9</v>
      </c>
      <c r="F248" s="32">
        <f>+TH!I252</f>
        <v>0</v>
      </c>
      <c r="G248" s="32" t="str">
        <f>+TH!J252</f>
        <v>D</v>
      </c>
      <c r="H248" s="30">
        <f>+TH!K252</f>
        <v>46154</v>
      </c>
      <c r="I248" s="32" t="str">
        <f>+TH!L252</f>
        <v>NORMA</v>
      </c>
      <c r="J248" s="31">
        <f>+TH!M252</f>
        <v>0</v>
      </c>
      <c r="K248" s="31">
        <f>+TH!N252</f>
        <v>0</v>
      </c>
    </row>
    <row r="249" spans="1:11" x14ac:dyDescent="0.3">
      <c r="A249" s="32">
        <v>40</v>
      </c>
      <c r="B249" s="32">
        <f>+TH!E253</f>
        <v>0</v>
      </c>
      <c r="C249" s="32">
        <f>+TH!F253</f>
        <v>0</v>
      </c>
      <c r="D249" s="32">
        <f>+TH!G253</f>
        <v>2026</v>
      </c>
      <c r="E249" s="32">
        <f>+TH!H253</f>
        <v>9</v>
      </c>
      <c r="F249" s="32">
        <f>+TH!I253</f>
        <v>0</v>
      </c>
      <c r="G249" s="32" t="str">
        <f>+TH!J253</f>
        <v>D</v>
      </c>
      <c r="H249" s="30">
        <f>+TH!K253</f>
        <v>46154</v>
      </c>
      <c r="I249" s="32" t="str">
        <f>+TH!L253</f>
        <v>NORMA</v>
      </c>
      <c r="J249" s="31">
        <f>+TH!M253</f>
        <v>0</v>
      </c>
      <c r="K249" s="31">
        <f>+TH!N253</f>
        <v>0</v>
      </c>
    </row>
    <row r="250" spans="1:11" x14ac:dyDescent="0.3">
      <c r="A250" s="32">
        <v>40</v>
      </c>
      <c r="B250" s="32">
        <f>+TH!E254</f>
        <v>0</v>
      </c>
      <c r="C250" s="32">
        <f>+TH!F254</f>
        <v>0</v>
      </c>
      <c r="D250" s="32">
        <f>+TH!G254</f>
        <v>2026</v>
      </c>
      <c r="E250" s="32">
        <f>+TH!H254</f>
        <v>9</v>
      </c>
      <c r="F250" s="32">
        <f>+TH!I254</f>
        <v>0</v>
      </c>
      <c r="G250" s="32" t="str">
        <f>+TH!J254</f>
        <v>D</v>
      </c>
      <c r="H250" s="30">
        <f>+TH!K254</f>
        <v>46154</v>
      </c>
      <c r="I250" s="32" t="str">
        <f>+TH!L254</f>
        <v>NORMA</v>
      </c>
      <c r="J250" s="31">
        <f>+TH!M254</f>
        <v>0</v>
      </c>
      <c r="K250" s="31">
        <f>+TH!N254</f>
        <v>0</v>
      </c>
    </row>
    <row r="251" spans="1:11" x14ac:dyDescent="0.3">
      <c r="A251" s="32">
        <v>40</v>
      </c>
      <c r="B251" s="32">
        <f>+TH!E255</f>
        <v>0</v>
      </c>
      <c r="C251" s="32">
        <f>+TH!F255</f>
        <v>0</v>
      </c>
      <c r="D251" s="32">
        <f>+TH!G255</f>
        <v>2026</v>
      </c>
      <c r="E251" s="32">
        <f>+TH!H255</f>
        <v>9</v>
      </c>
      <c r="F251" s="32">
        <f>+TH!I255</f>
        <v>0</v>
      </c>
      <c r="G251" s="32" t="str">
        <f>+TH!J255</f>
        <v>D</v>
      </c>
      <c r="H251" s="30">
        <f>+TH!K255</f>
        <v>46154</v>
      </c>
      <c r="I251" s="32" t="str">
        <f>+TH!L255</f>
        <v>NORMA</v>
      </c>
      <c r="J251" s="31">
        <f>+TH!M255</f>
        <v>0</v>
      </c>
      <c r="K251" s="31">
        <f>+TH!N255</f>
        <v>0</v>
      </c>
    </row>
    <row r="252" spans="1:11" x14ac:dyDescent="0.3">
      <c r="G252" s="24"/>
      <c r="I252" s="24"/>
    </row>
    <row r="253" spans="1:11" x14ac:dyDescent="0.3">
      <c r="G253" s="24"/>
      <c r="I253" s="24"/>
    </row>
    <row r="254" spans="1:11" x14ac:dyDescent="0.3">
      <c r="G254" s="24"/>
      <c r="I254" s="24"/>
    </row>
    <row r="255" spans="1:11" x14ac:dyDescent="0.3">
      <c r="G255" s="24"/>
      <c r="I255" s="24"/>
    </row>
    <row r="256" spans="1:11" x14ac:dyDescent="0.3">
      <c r="G256" s="24"/>
      <c r="I256" s="24"/>
    </row>
    <row r="257" spans="7:9" x14ac:dyDescent="0.3">
      <c r="G257" s="24"/>
      <c r="I257" s="24"/>
    </row>
    <row r="258" spans="7:9" x14ac:dyDescent="0.3">
      <c r="G258" s="24"/>
      <c r="I258" s="24"/>
    </row>
    <row r="259" spans="7:9" x14ac:dyDescent="0.3">
      <c r="G259" s="24"/>
      <c r="I259" s="24"/>
    </row>
    <row r="260" spans="7:9" x14ac:dyDescent="0.3">
      <c r="G260" s="24"/>
      <c r="I260" s="24"/>
    </row>
    <row r="261" spans="7:9" x14ac:dyDescent="0.3">
      <c r="G261" s="24"/>
      <c r="I261" s="24"/>
    </row>
    <row r="262" spans="7:9" x14ac:dyDescent="0.3">
      <c r="G262" s="24"/>
      <c r="I262" s="24"/>
    </row>
    <row r="263" spans="7:9" x14ac:dyDescent="0.3">
      <c r="G263" s="24"/>
      <c r="I263" s="24"/>
    </row>
    <row r="264" spans="7:9" x14ac:dyDescent="0.3">
      <c r="G264" s="24"/>
      <c r="I264" s="24"/>
    </row>
    <row r="265" spans="7:9" x14ac:dyDescent="0.3">
      <c r="G265" s="24"/>
      <c r="I265" s="24"/>
    </row>
    <row r="266" spans="7:9" x14ac:dyDescent="0.3">
      <c r="G266" s="24"/>
      <c r="I266" s="24"/>
    </row>
    <row r="267" spans="7:9" x14ac:dyDescent="0.3">
      <c r="G267" s="24"/>
      <c r="I267" s="24"/>
    </row>
    <row r="268" spans="7:9" x14ac:dyDescent="0.3">
      <c r="G268" s="24"/>
      <c r="I268" s="24"/>
    </row>
    <row r="269" spans="7:9" x14ac:dyDescent="0.3">
      <c r="G269" s="24"/>
      <c r="I269" s="24"/>
    </row>
    <row r="270" spans="7:9" x14ac:dyDescent="0.3">
      <c r="G270" s="24"/>
      <c r="I270" s="24"/>
    </row>
    <row r="271" spans="7:9" x14ac:dyDescent="0.3">
      <c r="G271" s="24"/>
      <c r="I271" s="24"/>
    </row>
    <row r="272" spans="7:9" x14ac:dyDescent="0.3">
      <c r="G272" s="24"/>
      <c r="I272" s="24"/>
    </row>
    <row r="273" spans="7:9" x14ac:dyDescent="0.3">
      <c r="G273" s="24"/>
      <c r="I273" s="24"/>
    </row>
    <row r="274" spans="7:9" x14ac:dyDescent="0.3">
      <c r="G274" s="24"/>
      <c r="I274" s="24"/>
    </row>
    <row r="275" spans="7:9" x14ac:dyDescent="0.3">
      <c r="G275" s="24"/>
      <c r="I275" s="24"/>
    </row>
    <row r="276" spans="7:9" x14ac:dyDescent="0.3">
      <c r="G276" s="24"/>
      <c r="I276" s="24"/>
    </row>
    <row r="277" spans="7:9" x14ac:dyDescent="0.3">
      <c r="G277" s="24"/>
      <c r="I277" s="24"/>
    </row>
    <row r="278" spans="7:9" x14ac:dyDescent="0.3">
      <c r="G278" s="24"/>
      <c r="I278" s="24"/>
    </row>
    <row r="279" spans="7:9" x14ac:dyDescent="0.3">
      <c r="G279" s="24"/>
      <c r="I279" s="24"/>
    </row>
    <row r="280" spans="7:9" x14ac:dyDescent="0.3">
      <c r="G280" s="24"/>
      <c r="I280" s="24"/>
    </row>
    <row r="281" spans="7:9" x14ac:dyDescent="0.3">
      <c r="G281" s="24"/>
      <c r="I281" s="24"/>
    </row>
    <row r="282" spans="7:9" x14ac:dyDescent="0.3">
      <c r="G282" s="24"/>
      <c r="I282" s="24"/>
    </row>
    <row r="283" spans="7:9" x14ac:dyDescent="0.3">
      <c r="G283" s="24"/>
      <c r="I283" s="24"/>
    </row>
    <row r="284" spans="7:9" x14ac:dyDescent="0.3">
      <c r="G284" s="24"/>
      <c r="I284" s="24"/>
    </row>
    <row r="285" spans="7:9" x14ac:dyDescent="0.3">
      <c r="G285" s="24"/>
      <c r="I285" s="24"/>
    </row>
    <row r="286" spans="7:9" x14ac:dyDescent="0.3">
      <c r="G286" s="24"/>
      <c r="I286" s="24"/>
    </row>
    <row r="287" spans="7:9" x14ac:dyDescent="0.3">
      <c r="G287" s="24"/>
      <c r="I287" s="24"/>
    </row>
    <row r="288" spans="7:9" x14ac:dyDescent="0.3">
      <c r="G288" s="24"/>
      <c r="I288" s="24"/>
    </row>
    <row r="289" spans="7:9" x14ac:dyDescent="0.3">
      <c r="G289" s="24"/>
      <c r="I289" s="24"/>
    </row>
    <row r="290" spans="7:9" x14ac:dyDescent="0.3">
      <c r="G290" s="24"/>
      <c r="I290" s="24"/>
    </row>
    <row r="291" spans="7:9" x14ac:dyDescent="0.3">
      <c r="G291" s="24"/>
      <c r="I291" s="24"/>
    </row>
    <row r="292" spans="7:9" x14ac:dyDescent="0.3">
      <c r="G292" s="24"/>
      <c r="I292" s="24"/>
    </row>
    <row r="293" spans="7:9" x14ac:dyDescent="0.3">
      <c r="G293" s="24"/>
      <c r="I293" s="24"/>
    </row>
    <row r="294" spans="7:9" x14ac:dyDescent="0.3">
      <c r="G294" s="24"/>
      <c r="I294" s="24"/>
    </row>
    <row r="295" spans="7:9" x14ac:dyDescent="0.3">
      <c r="G295" s="24"/>
      <c r="I295" s="24"/>
    </row>
    <row r="296" spans="7:9" x14ac:dyDescent="0.3">
      <c r="G296" s="24"/>
      <c r="I296" s="24"/>
    </row>
    <row r="297" spans="7:9" x14ac:dyDescent="0.3">
      <c r="G297" s="24"/>
      <c r="I297" s="24"/>
    </row>
    <row r="298" spans="7:9" x14ac:dyDescent="0.3">
      <c r="G298" s="24"/>
      <c r="I298" s="24"/>
    </row>
    <row r="299" spans="7:9" x14ac:dyDescent="0.3">
      <c r="G299" s="24"/>
      <c r="I299" s="24"/>
    </row>
    <row r="300" spans="7:9" x14ac:dyDescent="0.3">
      <c r="G300" s="24"/>
      <c r="I300" s="24"/>
    </row>
    <row r="301" spans="7:9" x14ac:dyDescent="0.3">
      <c r="G301" s="24"/>
      <c r="I301" s="24"/>
    </row>
    <row r="302" spans="7:9" x14ac:dyDescent="0.3">
      <c r="G302" s="24"/>
      <c r="I302" s="24"/>
    </row>
    <row r="303" spans="7:9" x14ac:dyDescent="0.3">
      <c r="G303" s="24"/>
      <c r="I303" s="24"/>
    </row>
    <row r="304" spans="7:9" x14ac:dyDescent="0.3">
      <c r="G304" s="24"/>
      <c r="I304" s="24"/>
    </row>
    <row r="305" spans="7:9" x14ac:dyDescent="0.3">
      <c r="G305" s="24"/>
      <c r="I305" s="24"/>
    </row>
    <row r="306" spans="7:9" x14ac:dyDescent="0.3">
      <c r="G306" s="24"/>
      <c r="I306" s="24"/>
    </row>
    <row r="307" spans="7:9" x14ac:dyDescent="0.3">
      <c r="G307" s="24"/>
      <c r="I307" s="24"/>
    </row>
    <row r="308" spans="7:9" x14ac:dyDescent="0.3">
      <c r="G308" s="24"/>
      <c r="I308" s="24"/>
    </row>
    <row r="309" spans="7:9" x14ac:dyDescent="0.3">
      <c r="G309" s="24"/>
      <c r="I309" s="24"/>
    </row>
    <row r="310" spans="7:9" x14ac:dyDescent="0.3">
      <c r="G310" s="24"/>
      <c r="I310" s="24"/>
    </row>
    <row r="311" spans="7:9" x14ac:dyDescent="0.3">
      <c r="G311" s="24"/>
      <c r="I311" s="24"/>
    </row>
    <row r="312" spans="7:9" x14ac:dyDescent="0.3">
      <c r="G312" s="24"/>
      <c r="I312" s="24"/>
    </row>
    <row r="313" spans="7:9" x14ac:dyDescent="0.3">
      <c r="G313" s="24"/>
      <c r="I313" s="24"/>
    </row>
    <row r="314" spans="7:9" x14ac:dyDescent="0.3">
      <c r="G314" s="24"/>
      <c r="I314" s="24"/>
    </row>
    <row r="315" spans="7:9" x14ac:dyDescent="0.3">
      <c r="G315" s="24"/>
      <c r="I315" s="24"/>
    </row>
    <row r="316" spans="7:9" x14ac:dyDescent="0.3">
      <c r="G316" s="24"/>
      <c r="I316" s="24"/>
    </row>
    <row r="317" spans="7:9" x14ac:dyDescent="0.3">
      <c r="G317" s="24"/>
      <c r="I317" s="24"/>
    </row>
    <row r="318" spans="7:9" x14ac:dyDescent="0.3">
      <c r="G318" s="24"/>
      <c r="I318" s="24"/>
    </row>
    <row r="319" spans="7:9" x14ac:dyDescent="0.3">
      <c r="G319" s="24"/>
      <c r="I319" s="24"/>
    </row>
    <row r="320" spans="7:9" x14ac:dyDescent="0.3">
      <c r="G320" s="24"/>
      <c r="I320" s="24"/>
    </row>
    <row r="321" spans="7:9" x14ac:dyDescent="0.3">
      <c r="G321" s="24"/>
      <c r="I321" s="24"/>
    </row>
    <row r="322" spans="7:9" x14ac:dyDescent="0.3">
      <c r="G322" s="24"/>
      <c r="I322" s="24"/>
    </row>
    <row r="323" spans="7:9" x14ac:dyDescent="0.3">
      <c r="G323" s="24"/>
      <c r="I323" s="24"/>
    </row>
    <row r="324" spans="7:9" x14ac:dyDescent="0.3">
      <c r="G324" s="24"/>
      <c r="I324" s="24"/>
    </row>
    <row r="325" spans="7:9" x14ac:dyDescent="0.3">
      <c r="G325" s="24"/>
      <c r="I325" s="24"/>
    </row>
    <row r="326" spans="7:9" x14ac:dyDescent="0.3">
      <c r="G326" s="24"/>
      <c r="I326" s="24"/>
    </row>
    <row r="327" spans="7:9" x14ac:dyDescent="0.3">
      <c r="G327" s="24"/>
      <c r="I327" s="24"/>
    </row>
    <row r="328" spans="7:9" x14ac:dyDescent="0.3">
      <c r="G328" s="24"/>
      <c r="I328" s="24"/>
    </row>
    <row r="329" spans="7:9" x14ac:dyDescent="0.3">
      <c r="G329" s="24"/>
      <c r="I329" s="24"/>
    </row>
    <row r="330" spans="7:9" x14ac:dyDescent="0.3">
      <c r="G330" s="24"/>
      <c r="I330" s="24"/>
    </row>
    <row r="331" spans="7:9" x14ac:dyDescent="0.3">
      <c r="G331" s="24"/>
      <c r="I331" s="24"/>
    </row>
    <row r="332" spans="7:9" x14ac:dyDescent="0.3">
      <c r="G332" s="24"/>
      <c r="I332" s="24"/>
    </row>
    <row r="333" spans="7:9" x14ac:dyDescent="0.3">
      <c r="G333" s="24"/>
      <c r="I333" s="24"/>
    </row>
    <row r="334" spans="7:9" x14ac:dyDescent="0.3">
      <c r="G334" s="24"/>
      <c r="I334" s="24"/>
    </row>
    <row r="335" spans="7:9" x14ac:dyDescent="0.3">
      <c r="G335" s="24"/>
      <c r="I335" s="24"/>
    </row>
    <row r="336" spans="7:9" x14ac:dyDescent="0.3">
      <c r="G336" s="24"/>
      <c r="I336" s="24"/>
    </row>
    <row r="337" spans="7:9" x14ac:dyDescent="0.3">
      <c r="G337" s="24"/>
      <c r="I337" s="24"/>
    </row>
    <row r="338" spans="7:9" x14ac:dyDescent="0.3">
      <c r="G338" s="24"/>
      <c r="I338" s="24"/>
    </row>
    <row r="339" spans="7:9" x14ac:dyDescent="0.3">
      <c r="G339" s="24"/>
      <c r="I339" s="24"/>
    </row>
    <row r="340" spans="7:9" x14ac:dyDescent="0.3">
      <c r="G340" s="24"/>
      <c r="I340" s="24"/>
    </row>
    <row r="341" spans="7:9" x14ac:dyDescent="0.3">
      <c r="G341" s="24"/>
      <c r="I341" s="24"/>
    </row>
    <row r="342" spans="7:9" x14ac:dyDescent="0.3">
      <c r="G342" s="24"/>
      <c r="I342" s="24"/>
    </row>
    <row r="343" spans="7:9" x14ac:dyDescent="0.3">
      <c r="G343" s="24"/>
      <c r="I343" s="24"/>
    </row>
    <row r="344" spans="7:9" x14ac:dyDescent="0.3">
      <c r="G344" s="24"/>
      <c r="I344" s="24"/>
    </row>
    <row r="345" spans="7:9" x14ac:dyDescent="0.3">
      <c r="G345" s="24"/>
      <c r="I345" s="24"/>
    </row>
    <row r="346" spans="7:9" x14ac:dyDescent="0.3">
      <c r="G346" s="24"/>
      <c r="I346" s="24"/>
    </row>
    <row r="347" spans="7:9" x14ac:dyDescent="0.3">
      <c r="G347" s="24"/>
      <c r="I347" s="24"/>
    </row>
    <row r="348" spans="7:9" x14ac:dyDescent="0.3">
      <c r="G348" s="24"/>
      <c r="I348" s="24"/>
    </row>
    <row r="349" spans="7:9" x14ac:dyDescent="0.3">
      <c r="G349" s="24"/>
      <c r="I349" s="24"/>
    </row>
    <row r="350" spans="7:9" x14ac:dyDescent="0.3">
      <c r="G350" s="24"/>
      <c r="I350" s="24"/>
    </row>
    <row r="351" spans="7:9" x14ac:dyDescent="0.3">
      <c r="G351" s="24"/>
      <c r="I351" s="24"/>
    </row>
    <row r="352" spans="7:9" x14ac:dyDescent="0.3">
      <c r="G352" s="24"/>
      <c r="I352" s="24"/>
    </row>
    <row r="353" spans="7:9" x14ac:dyDescent="0.3">
      <c r="G353" s="24"/>
      <c r="I353" s="24"/>
    </row>
    <row r="354" spans="7:9" x14ac:dyDescent="0.3">
      <c r="G354" s="24"/>
      <c r="I354" s="24"/>
    </row>
    <row r="355" spans="7:9" x14ac:dyDescent="0.3">
      <c r="G355" s="24"/>
      <c r="I355" s="24"/>
    </row>
    <row r="356" spans="7:9" x14ac:dyDescent="0.3">
      <c r="G356" s="24"/>
      <c r="I356" s="24"/>
    </row>
    <row r="357" spans="7:9" x14ac:dyDescent="0.3">
      <c r="G357" s="24"/>
      <c r="I357" s="24"/>
    </row>
    <row r="358" spans="7:9" x14ac:dyDescent="0.3">
      <c r="G358" s="24"/>
      <c r="I358" s="24"/>
    </row>
    <row r="359" spans="7:9" x14ac:dyDescent="0.3">
      <c r="G359" s="24"/>
      <c r="I359" s="24"/>
    </row>
    <row r="360" spans="7:9" x14ac:dyDescent="0.3">
      <c r="G360" s="24"/>
      <c r="I360" s="24"/>
    </row>
    <row r="361" spans="7:9" x14ac:dyDescent="0.3">
      <c r="G361" s="24"/>
      <c r="I361" s="24"/>
    </row>
    <row r="362" spans="7:9" x14ac:dyDescent="0.3">
      <c r="G362" s="24"/>
      <c r="I362" s="24"/>
    </row>
    <row r="363" spans="7:9" x14ac:dyDescent="0.3">
      <c r="G363" s="24"/>
      <c r="I363" s="24"/>
    </row>
    <row r="364" spans="7:9" x14ac:dyDescent="0.3">
      <c r="G364" s="24"/>
      <c r="I364" s="24"/>
    </row>
    <row r="365" spans="7:9" x14ac:dyDescent="0.3">
      <c r="G365" s="24"/>
      <c r="I365" s="24"/>
    </row>
    <row r="366" spans="7:9" x14ac:dyDescent="0.3">
      <c r="G366" s="24"/>
      <c r="I366" s="24"/>
    </row>
    <row r="367" spans="7:9" x14ac:dyDescent="0.3">
      <c r="G367" s="24"/>
      <c r="I367" s="24"/>
    </row>
    <row r="368" spans="7:9" x14ac:dyDescent="0.3">
      <c r="G368" s="24"/>
      <c r="I368" s="24"/>
    </row>
    <row r="369" spans="7:9" x14ac:dyDescent="0.3">
      <c r="G369" s="24"/>
      <c r="I369" s="24"/>
    </row>
    <row r="370" spans="7:9" x14ac:dyDescent="0.3">
      <c r="G370" s="24"/>
      <c r="I370" s="24"/>
    </row>
    <row r="371" spans="7:9" x14ac:dyDescent="0.3">
      <c r="G371" s="24"/>
      <c r="I371" s="24"/>
    </row>
    <row r="372" spans="7:9" x14ac:dyDescent="0.3">
      <c r="G372" s="24"/>
      <c r="I372" s="24"/>
    </row>
    <row r="373" spans="7:9" x14ac:dyDescent="0.3">
      <c r="G373" s="24"/>
      <c r="I373" s="24"/>
    </row>
    <row r="374" spans="7:9" x14ac:dyDescent="0.3">
      <c r="G374" s="24"/>
      <c r="I374" s="24"/>
    </row>
    <row r="375" spans="7:9" x14ac:dyDescent="0.3">
      <c r="G375" s="24"/>
      <c r="I375" s="24"/>
    </row>
    <row r="376" spans="7:9" x14ac:dyDescent="0.3">
      <c r="G376" s="24"/>
      <c r="I376" s="24"/>
    </row>
    <row r="377" spans="7:9" x14ac:dyDescent="0.3">
      <c r="G377" s="24"/>
      <c r="I377" s="24"/>
    </row>
    <row r="378" spans="7:9" x14ac:dyDescent="0.3">
      <c r="G378" s="24"/>
      <c r="I378" s="24"/>
    </row>
    <row r="379" spans="7:9" x14ac:dyDescent="0.3">
      <c r="G379" s="24"/>
      <c r="I379" s="24"/>
    </row>
    <row r="380" spans="7:9" x14ac:dyDescent="0.3">
      <c r="G380" s="24"/>
      <c r="I380" s="24"/>
    </row>
    <row r="381" spans="7:9" x14ac:dyDescent="0.3">
      <c r="G381" s="24"/>
      <c r="I381" s="24"/>
    </row>
    <row r="382" spans="7:9" x14ac:dyDescent="0.3">
      <c r="G382" s="24"/>
      <c r="I382" s="24"/>
    </row>
    <row r="383" spans="7:9" x14ac:dyDescent="0.3">
      <c r="G383" s="24"/>
      <c r="I383" s="24"/>
    </row>
    <row r="384" spans="7:9" x14ac:dyDescent="0.3">
      <c r="G384" s="24"/>
      <c r="I384" s="24"/>
    </row>
    <row r="385" spans="7:9" x14ac:dyDescent="0.3">
      <c r="G385" s="24"/>
      <c r="I385" s="24"/>
    </row>
    <row r="386" spans="7:9" x14ac:dyDescent="0.3">
      <c r="G386" s="24"/>
      <c r="I386" s="24"/>
    </row>
    <row r="387" spans="7:9" x14ac:dyDescent="0.3">
      <c r="G387" s="24"/>
      <c r="I387" s="24"/>
    </row>
    <row r="388" spans="7:9" x14ac:dyDescent="0.3">
      <c r="G388" s="24"/>
      <c r="I388" s="24"/>
    </row>
    <row r="389" spans="7:9" x14ac:dyDescent="0.3">
      <c r="G389" s="24"/>
      <c r="I389" s="24"/>
    </row>
    <row r="390" spans="7:9" x14ac:dyDescent="0.3">
      <c r="G390" s="24"/>
      <c r="I390" s="24"/>
    </row>
    <row r="391" spans="7:9" x14ac:dyDescent="0.3">
      <c r="G391" s="24"/>
      <c r="I391" s="24"/>
    </row>
    <row r="392" spans="7:9" x14ac:dyDescent="0.3">
      <c r="G392" s="24"/>
      <c r="I392" s="24"/>
    </row>
    <row r="393" spans="7:9" x14ac:dyDescent="0.3">
      <c r="G393" s="24"/>
      <c r="I393" s="24"/>
    </row>
    <row r="394" spans="7:9" x14ac:dyDescent="0.3">
      <c r="G394" s="24"/>
      <c r="I394" s="24"/>
    </row>
    <row r="395" spans="7:9" x14ac:dyDescent="0.3">
      <c r="G395" s="24"/>
      <c r="I395" s="24"/>
    </row>
    <row r="396" spans="7:9" x14ac:dyDescent="0.3">
      <c r="G396" s="24"/>
      <c r="I396" s="24"/>
    </row>
    <row r="397" spans="7:9" x14ac:dyDescent="0.3">
      <c r="G397" s="24"/>
      <c r="I397" s="24"/>
    </row>
    <row r="398" spans="7:9" x14ac:dyDescent="0.3">
      <c r="G398" s="24"/>
      <c r="I398" s="24"/>
    </row>
    <row r="399" spans="7:9" x14ac:dyDescent="0.3">
      <c r="G399" s="24"/>
      <c r="I399" s="24"/>
    </row>
    <row r="400" spans="7:9" x14ac:dyDescent="0.3">
      <c r="G400" s="24"/>
      <c r="I400" s="24"/>
    </row>
    <row r="401" spans="7:9" x14ac:dyDescent="0.3">
      <c r="G401" s="24"/>
      <c r="I401" s="24"/>
    </row>
    <row r="402" spans="7:9" x14ac:dyDescent="0.3">
      <c r="G402" s="24"/>
      <c r="I402" s="24"/>
    </row>
    <row r="403" spans="7:9" x14ac:dyDescent="0.3">
      <c r="G403" s="24"/>
      <c r="I403" s="24"/>
    </row>
    <row r="404" spans="7:9" x14ac:dyDescent="0.3">
      <c r="G404" s="24"/>
      <c r="I404" s="24"/>
    </row>
    <row r="405" spans="7:9" x14ac:dyDescent="0.3">
      <c r="G405" s="24"/>
      <c r="I405" s="24"/>
    </row>
    <row r="406" spans="7:9" x14ac:dyDescent="0.3">
      <c r="G406" s="24"/>
      <c r="I406" s="24"/>
    </row>
    <row r="407" spans="7:9" x14ac:dyDescent="0.3">
      <c r="G407" s="24"/>
      <c r="I407" s="24"/>
    </row>
    <row r="408" spans="7:9" x14ac:dyDescent="0.3">
      <c r="G408" s="24"/>
      <c r="I408" s="24"/>
    </row>
    <row r="409" spans="7:9" x14ac:dyDescent="0.3">
      <c r="G409" s="24"/>
      <c r="I409" s="24"/>
    </row>
    <row r="410" spans="7:9" x14ac:dyDescent="0.3">
      <c r="G410" s="24"/>
      <c r="I410" s="24"/>
    </row>
    <row r="411" spans="7:9" x14ac:dyDescent="0.3">
      <c r="G411" s="24"/>
      <c r="I411" s="24"/>
    </row>
    <row r="412" spans="7:9" x14ac:dyDescent="0.3">
      <c r="G412" s="24"/>
      <c r="I412" s="24"/>
    </row>
    <row r="413" spans="7:9" x14ac:dyDescent="0.3">
      <c r="G413" s="24"/>
      <c r="I413" s="24"/>
    </row>
    <row r="414" spans="7:9" x14ac:dyDescent="0.3">
      <c r="G414" s="24"/>
      <c r="I414" s="24"/>
    </row>
    <row r="415" spans="7:9" x14ac:dyDescent="0.3">
      <c r="G415" s="24"/>
      <c r="I415" s="24"/>
    </row>
    <row r="416" spans="7:9" x14ac:dyDescent="0.3">
      <c r="G416" s="24"/>
      <c r="I416" s="24"/>
    </row>
    <row r="417" spans="7:9" x14ac:dyDescent="0.3">
      <c r="G417" s="24"/>
      <c r="I417" s="24"/>
    </row>
    <row r="418" spans="7:9" x14ac:dyDescent="0.3">
      <c r="G418" s="24"/>
      <c r="I418" s="24"/>
    </row>
    <row r="419" spans="7:9" x14ac:dyDescent="0.3">
      <c r="G419" s="24"/>
      <c r="I419" s="24"/>
    </row>
    <row r="420" spans="7:9" x14ac:dyDescent="0.3">
      <c r="G420" s="24"/>
      <c r="I420" s="24"/>
    </row>
    <row r="421" spans="7:9" x14ac:dyDescent="0.3">
      <c r="G421" s="24"/>
      <c r="I421" s="24"/>
    </row>
    <row r="422" spans="7:9" x14ac:dyDescent="0.3">
      <c r="G422" s="24"/>
      <c r="I422" s="24"/>
    </row>
    <row r="423" spans="7:9" x14ac:dyDescent="0.3">
      <c r="G423" s="24"/>
      <c r="I423" s="24"/>
    </row>
    <row r="424" spans="7:9" x14ac:dyDescent="0.3">
      <c r="G424" s="24"/>
      <c r="I424" s="24"/>
    </row>
    <row r="425" spans="7:9" x14ac:dyDescent="0.3">
      <c r="G425" s="24"/>
      <c r="I425" s="24"/>
    </row>
    <row r="426" spans="7:9" x14ac:dyDescent="0.3">
      <c r="G426" s="24"/>
      <c r="I426" s="24"/>
    </row>
    <row r="427" spans="7:9" x14ac:dyDescent="0.3">
      <c r="G427" s="24"/>
      <c r="I427" s="24"/>
    </row>
    <row r="428" spans="7:9" x14ac:dyDescent="0.3">
      <c r="G428" s="24"/>
      <c r="I428" s="24"/>
    </row>
    <row r="429" spans="7:9" x14ac:dyDescent="0.3">
      <c r="G429" s="24"/>
      <c r="I429" s="24"/>
    </row>
    <row r="430" spans="7:9" x14ac:dyDescent="0.3">
      <c r="G430" s="24"/>
      <c r="I430" s="24"/>
    </row>
    <row r="431" spans="7:9" x14ac:dyDescent="0.3">
      <c r="G431" s="24"/>
      <c r="I431" s="24"/>
    </row>
    <row r="432" spans="7:9" x14ac:dyDescent="0.3">
      <c r="G432" s="24"/>
      <c r="I432" s="24"/>
    </row>
    <row r="433" spans="7:9" x14ac:dyDescent="0.3">
      <c r="G433" s="24"/>
      <c r="I433" s="24"/>
    </row>
    <row r="434" spans="7:9" x14ac:dyDescent="0.3">
      <c r="G434" s="24"/>
      <c r="I434" s="24"/>
    </row>
    <row r="435" spans="7:9" x14ac:dyDescent="0.3">
      <c r="G435" s="24"/>
      <c r="I435" s="24"/>
    </row>
    <row r="436" spans="7:9" x14ac:dyDescent="0.3">
      <c r="G436" s="24"/>
      <c r="I436" s="24"/>
    </row>
    <row r="437" spans="7:9" x14ac:dyDescent="0.3">
      <c r="G437" s="24"/>
      <c r="I437" s="24"/>
    </row>
    <row r="438" spans="7:9" x14ac:dyDescent="0.3">
      <c r="G438" s="24"/>
      <c r="I438" s="24"/>
    </row>
    <row r="439" spans="7:9" x14ac:dyDescent="0.3">
      <c r="G439" s="24"/>
      <c r="I439" s="24"/>
    </row>
    <row r="440" spans="7:9" x14ac:dyDescent="0.3">
      <c r="G440" s="24"/>
      <c r="I440" s="24"/>
    </row>
    <row r="441" spans="7:9" x14ac:dyDescent="0.3">
      <c r="G441" s="24"/>
      <c r="I441" s="24"/>
    </row>
    <row r="442" spans="7:9" x14ac:dyDescent="0.3">
      <c r="G442" s="24"/>
      <c r="I442" s="24"/>
    </row>
    <row r="443" spans="7:9" x14ac:dyDescent="0.3">
      <c r="G443" s="24"/>
      <c r="I443" s="24"/>
    </row>
    <row r="444" spans="7:9" x14ac:dyDescent="0.3">
      <c r="G444" s="24"/>
      <c r="I444" s="24"/>
    </row>
    <row r="445" spans="7:9" x14ac:dyDescent="0.3">
      <c r="G445" s="24"/>
      <c r="I445" s="24"/>
    </row>
    <row r="446" spans="7:9" x14ac:dyDescent="0.3">
      <c r="G446" s="24"/>
      <c r="I446" s="24"/>
    </row>
    <row r="447" spans="7:9" x14ac:dyDescent="0.3">
      <c r="G447" s="24"/>
      <c r="I447" s="24"/>
    </row>
    <row r="448" spans="7:9" x14ac:dyDescent="0.3">
      <c r="G448" s="24"/>
      <c r="I448" s="24"/>
    </row>
    <row r="449" spans="7:9" x14ac:dyDescent="0.3">
      <c r="G449" s="24"/>
      <c r="I449" s="24"/>
    </row>
    <row r="450" spans="7:9" x14ac:dyDescent="0.3">
      <c r="G450" s="24"/>
      <c r="I450" s="24"/>
    </row>
    <row r="451" spans="7:9" x14ac:dyDescent="0.3">
      <c r="G451" s="24"/>
      <c r="I451" s="24"/>
    </row>
    <row r="452" spans="7:9" x14ac:dyDescent="0.3">
      <c r="G452" s="24"/>
      <c r="I452" s="24"/>
    </row>
    <row r="453" spans="7:9" x14ac:dyDescent="0.3">
      <c r="G453" s="24"/>
      <c r="I453" s="24"/>
    </row>
    <row r="454" spans="7:9" x14ac:dyDescent="0.3">
      <c r="G454" s="24"/>
      <c r="I454" s="24"/>
    </row>
    <row r="455" spans="7:9" x14ac:dyDescent="0.3">
      <c r="G455" s="24"/>
      <c r="I455" s="24"/>
    </row>
    <row r="456" spans="7:9" x14ac:dyDescent="0.3">
      <c r="G456" s="24"/>
      <c r="I456" s="24"/>
    </row>
    <row r="457" spans="7:9" x14ac:dyDescent="0.3">
      <c r="G457" s="24"/>
      <c r="I457" s="24"/>
    </row>
    <row r="458" spans="7:9" x14ac:dyDescent="0.3">
      <c r="G458" s="24"/>
      <c r="I458" s="24"/>
    </row>
    <row r="459" spans="7:9" x14ac:dyDescent="0.3">
      <c r="G459" s="24"/>
      <c r="I459" s="24"/>
    </row>
    <row r="460" spans="7:9" x14ac:dyDescent="0.3">
      <c r="G460" s="24"/>
      <c r="I460" s="24"/>
    </row>
    <row r="461" spans="7:9" x14ac:dyDescent="0.3">
      <c r="G461" s="24"/>
      <c r="I461" s="24"/>
    </row>
    <row r="462" spans="7:9" x14ac:dyDescent="0.3">
      <c r="G462" s="24"/>
      <c r="I462" s="24"/>
    </row>
    <row r="463" spans="7:9" x14ac:dyDescent="0.3">
      <c r="G463" s="24"/>
      <c r="I463" s="24"/>
    </row>
    <row r="464" spans="7:9" x14ac:dyDescent="0.3">
      <c r="G464" s="24"/>
      <c r="I464" s="24"/>
    </row>
    <row r="465" spans="7:9" x14ac:dyDescent="0.3">
      <c r="G465" s="24"/>
      <c r="I465" s="24"/>
    </row>
    <row r="466" spans="7:9" x14ac:dyDescent="0.3">
      <c r="G466" s="24"/>
      <c r="I466" s="24"/>
    </row>
    <row r="467" spans="7:9" x14ac:dyDescent="0.3">
      <c r="G467" s="24"/>
      <c r="I467" s="24"/>
    </row>
    <row r="468" spans="7:9" x14ac:dyDescent="0.3">
      <c r="G468" s="24"/>
      <c r="I468" s="24"/>
    </row>
    <row r="469" spans="7:9" x14ac:dyDescent="0.3">
      <c r="G469" s="24"/>
      <c r="I469" s="24"/>
    </row>
    <row r="470" spans="7:9" x14ac:dyDescent="0.3">
      <c r="G470" s="24"/>
      <c r="I470" s="24"/>
    </row>
    <row r="471" spans="7:9" x14ac:dyDescent="0.3">
      <c r="G471" s="24"/>
      <c r="I471" s="24"/>
    </row>
    <row r="472" spans="7:9" x14ac:dyDescent="0.3">
      <c r="G472" s="24"/>
      <c r="I472" s="24"/>
    </row>
    <row r="473" spans="7:9" x14ac:dyDescent="0.3">
      <c r="G473" s="24"/>
      <c r="I473" s="24"/>
    </row>
    <row r="474" spans="7:9" x14ac:dyDescent="0.3">
      <c r="G474" s="24"/>
      <c r="I474" s="24"/>
    </row>
    <row r="475" spans="7:9" x14ac:dyDescent="0.3">
      <c r="G475" s="24"/>
      <c r="I475" s="24"/>
    </row>
    <row r="476" spans="7:9" x14ac:dyDescent="0.3">
      <c r="G476" s="24"/>
      <c r="I476" s="24"/>
    </row>
    <row r="477" spans="7:9" x14ac:dyDescent="0.3">
      <c r="G477" s="24"/>
      <c r="I477" s="24"/>
    </row>
    <row r="478" spans="7:9" x14ac:dyDescent="0.3">
      <c r="G478" s="24"/>
      <c r="I478" s="24"/>
    </row>
    <row r="479" spans="7:9" x14ac:dyDescent="0.3">
      <c r="G479" s="24"/>
      <c r="I479" s="24"/>
    </row>
    <row r="480" spans="7:9" x14ac:dyDescent="0.3">
      <c r="G480" s="24"/>
      <c r="I480" s="24"/>
    </row>
    <row r="481" spans="7:9" x14ac:dyDescent="0.3">
      <c r="G481" s="24"/>
      <c r="I481" s="24"/>
    </row>
    <row r="482" spans="7:9" x14ac:dyDescent="0.3">
      <c r="G482" s="24"/>
      <c r="I482" s="24"/>
    </row>
    <row r="483" spans="7:9" x14ac:dyDescent="0.3">
      <c r="G483" s="24"/>
      <c r="I483" s="24"/>
    </row>
    <row r="484" spans="7:9" x14ac:dyDescent="0.3">
      <c r="G484" s="24"/>
      <c r="I484" s="24"/>
    </row>
    <row r="485" spans="7:9" x14ac:dyDescent="0.3">
      <c r="G485" s="24"/>
      <c r="I485" s="24"/>
    </row>
    <row r="486" spans="7:9" x14ac:dyDescent="0.3">
      <c r="G486" s="24"/>
      <c r="I486" s="24"/>
    </row>
    <row r="487" spans="7:9" x14ac:dyDescent="0.3">
      <c r="G487" s="24"/>
      <c r="I487" s="24"/>
    </row>
    <row r="488" spans="7:9" x14ac:dyDescent="0.3">
      <c r="G488" s="24"/>
      <c r="I488" s="24"/>
    </row>
    <row r="489" spans="7:9" x14ac:dyDescent="0.3">
      <c r="G489" s="24"/>
      <c r="I489" s="24"/>
    </row>
    <row r="490" spans="7:9" x14ac:dyDescent="0.3">
      <c r="G490" s="24"/>
      <c r="I490" s="24"/>
    </row>
    <row r="491" spans="7:9" x14ac:dyDescent="0.3">
      <c r="G491" s="24"/>
      <c r="I491" s="24"/>
    </row>
    <row r="492" spans="7:9" x14ac:dyDescent="0.3">
      <c r="G492" s="24"/>
      <c r="I492" s="24"/>
    </row>
    <row r="493" spans="7:9" x14ac:dyDescent="0.3">
      <c r="G493" s="24"/>
      <c r="I493" s="24"/>
    </row>
    <row r="494" spans="7:9" x14ac:dyDescent="0.3">
      <c r="G494" s="24"/>
      <c r="I494" s="24"/>
    </row>
    <row r="495" spans="7:9" x14ac:dyDescent="0.3">
      <c r="G495" s="24"/>
      <c r="I495" s="24"/>
    </row>
    <row r="496" spans="7:9" x14ac:dyDescent="0.3">
      <c r="G496" s="24"/>
      <c r="I496" s="24"/>
    </row>
    <row r="497" spans="7:9" x14ac:dyDescent="0.3">
      <c r="G497" s="24"/>
      <c r="I497" s="24"/>
    </row>
    <row r="498" spans="7:9" x14ac:dyDescent="0.3">
      <c r="G498" s="24"/>
      <c r="I498" s="24"/>
    </row>
    <row r="499" spans="7:9" x14ac:dyDescent="0.3">
      <c r="G499" s="24"/>
      <c r="I499" s="24"/>
    </row>
    <row r="500" spans="7:9" x14ac:dyDescent="0.3">
      <c r="G500" s="24"/>
      <c r="I500" s="24"/>
    </row>
    <row r="501" spans="7:9" x14ac:dyDescent="0.3">
      <c r="G501" s="24"/>
      <c r="I501" s="24"/>
    </row>
    <row r="502" spans="7:9" x14ac:dyDescent="0.3">
      <c r="G502" s="24"/>
      <c r="I502" s="24"/>
    </row>
    <row r="503" spans="7:9" x14ac:dyDescent="0.3">
      <c r="G503" s="24"/>
      <c r="I503" s="24"/>
    </row>
    <row r="504" spans="7:9" x14ac:dyDescent="0.3">
      <c r="G504" s="24"/>
      <c r="I504" s="24"/>
    </row>
    <row r="505" spans="7:9" x14ac:dyDescent="0.3">
      <c r="G505" s="24"/>
      <c r="I505" s="24"/>
    </row>
    <row r="506" spans="7:9" x14ac:dyDescent="0.3">
      <c r="G506" s="24"/>
      <c r="I506" s="24"/>
    </row>
    <row r="507" spans="7:9" x14ac:dyDescent="0.3">
      <c r="G507" s="24"/>
      <c r="I507" s="24"/>
    </row>
    <row r="508" spans="7:9" x14ac:dyDescent="0.3">
      <c r="G508" s="24"/>
      <c r="I508" s="24"/>
    </row>
    <row r="509" spans="7:9" x14ac:dyDescent="0.3">
      <c r="G509" s="24"/>
      <c r="I509" s="24"/>
    </row>
    <row r="510" spans="7:9" x14ac:dyDescent="0.3">
      <c r="G510" s="24"/>
      <c r="I510" s="24"/>
    </row>
    <row r="511" spans="7:9" x14ac:dyDescent="0.3">
      <c r="G511" s="24"/>
      <c r="I511" s="24"/>
    </row>
    <row r="512" spans="7:9" x14ac:dyDescent="0.3">
      <c r="G512" s="24"/>
      <c r="I512" s="24"/>
    </row>
    <row r="513" spans="7:9" x14ac:dyDescent="0.3">
      <c r="G513" s="24"/>
      <c r="I513" s="24"/>
    </row>
    <row r="514" spans="7:9" x14ac:dyDescent="0.3">
      <c r="G514" s="24"/>
      <c r="I514" s="24"/>
    </row>
    <row r="515" spans="7:9" x14ac:dyDescent="0.3">
      <c r="G515" s="24"/>
      <c r="I515" s="24"/>
    </row>
    <row r="516" spans="7:9" x14ac:dyDescent="0.3">
      <c r="G516" s="24"/>
      <c r="I516" s="24"/>
    </row>
    <row r="517" spans="7:9" x14ac:dyDescent="0.3">
      <c r="G517" s="24"/>
      <c r="I517" s="24"/>
    </row>
    <row r="518" spans="7:9" x14ac:dyDescent="0.3">
      <c r="G518" s="24"/>
      <c r="I518" s="24"/>
    </row>
    <row r="519" spans="7:9" x14ac:dyDescent="0.3">
      <c r="G519" s="24"/>
      <c r="I519" s="24"/>
    </row>
    <row r="520" spans="7:9" x14ac:dyDescent="0.3">
      <c r="G520" s="24"/>
      <c r="I520" s="24"/>
    </row>
    <row r="521" spans="7:9" x14ac:dyDescent="0.3">
      <c r="G521" s="24"/>
      <c r="I521" s="24"/>
    </row>
    <row r="522" spans="7:9" x14ac:dyDescent="0.3">
      <c r="G522" s="24"/>
      <c r="I522" s="24"/>
    </row>
    <row r="523" spans="7:9" x14ac:dyDescent="0.3">
      <c r="G523" s="24"/>
      <c r="I523" s="24"/>
    </row>
    <row r="524" spans="7:9" x14ac:dyDescent="0.3">
      <c r="G524" s="24"/>
      <c r="I524" s="24"/>
    </row>
    <row r="525" spans="7:9" x14ac:dyDescent="0.3">
      <c r="G525" s="24"/>
      <c r="I525" s="24"/>
    </row>
    <row r="526" spans="7:9" x14ac:dyDescent="0.3">
      <c r="G526" s="24"/>
      <c r="I526" s="24"/>
    </row>
    <row r="527" spans="7:9" x14ac:dyDescent="0.3">
      <c r="G527" s="24"/>
      <c r="I527" s="24"/>
    </row>
    <row r="528" spans="7:9" x14ac:dyDescent="0.3">
      <c r="G528" s="24"/>
      <c r="I528" s="24"/>
    </row>
    <row r="529" spans="7:9" x14ac:dyDescent="0.3">
      <c r="G529" s="24"/>
      <c r="I529" s="24"/>
    </row>
    <row r="530" spans="7:9" x14ac:dyDescent="0.3">
      <c r="G530" s="24"/>
      <c r="I530" s="24"/>
    </row>
    <row r="531" spans="7:9" x14ac:dyDescent="0.3">
      <c r="G531" s="24"/>
      <c r="I531" s="24"/>
    </row>
    <row r="532" spans="7:9" x14ac:dyDescent="0.3">
      <c r="G532" s="24"/>
      <c r="I532" s="24"/>
    </row>
    <row r="533" spans="7:9" x14ac:dyDescent="0.3">
      <c r="G533" s="24"/>
      <c r="I533" s="24"/>
    </row>
    <row r="534" spans="7:9" x14ac:dyDescent="0.3">
      <c r="G534" s="24"/>
      <c r="I534" s="24"/>
    </row>
    <row r="535" spans="7:9" x14ac:dyDescent="0.3">
      <c r="G535" s="24"/>
      <c r="I535" s="24"/>
    </row>
    <row r="536" spans="7:9" x14ac:dyDescent="0.3">
      <c r="G536" s="24"/>
      <c r="I536" s="24"/>
    </row>
    <row r="537" spans="7:9" x14ac:dyDescent="0.3">
      <c r="G537" s="24"/>
      <c r="I537" s="24"/>
    </row>
    <row r="538" spans="7:9" x14ac:dyDescent="0.3">
      <c r="G538" s="24"/>
      <c r="I538" s="24"/>
    </row>
    <row r="539" spans="7:9" x14ac:dyDescent="0.3">
      <c r="G539" s="24"/>
      <c r="I539" s="24"/>
    </row>
    <row r="540" spans="7:9" x14ac:dyDescent="0.3">
      <c r="G540" s="24"/>
      <c r="I540" s="24"/>
    </row>
    <row r="541" spans="7:9" x14ac:dyDescent="0.3">
      <c r="G541" s="24"/>
      <c r="I541" s="24"/>
    </row>
    <row r="542" spans="7:9" x14ac:dyDescent="0.3">
      <c r="G542" s="24"/>
      <c r="I542" s="24"/>
    </row>
    <row r="543" spans="7:9" x14ac:dyDescent="0.3">
      <c r="G543" s="24"/>
      <c r="I543" s="24"/>
    </row>
    <row r="544" spans="7:9" x14ac:dyDescent="0.3">
      <c r="G544" s="24"/>
      <c r="I544" s="24"/>
    </row>
    <row r="545" spans="7:9" x14ac:dyDescent="0.3">
      <c r="G545" s="24"/>
      <c r="I545" s="24"/>
    </row>
    <row r="546" spans="7:9" x14ac:dyDescent="0.3">
      <c r="G546" s="24"/>
      <c r="I546" s="24"/>
    </row>
    <row r="547" spans="7:9" x14ac:dyDescent="0.3">
      <c r="G547" s="24"/>
      <c r="I547" s="24"/>
    </row>
    <row r="548" spans="7:9" x14ac:dyDescent="0.3">
      <c r="G548" s="24"/>
      <c r="I548" s="24"/>
    </row>
    <row r="549" spans="7:9" x14ac:dyDescent="0.3">
      <c r="G549" s="24"/>
      <c r="I549" s="24"/>
    </row>
    <row r="550" spans="7:9" x14ac:dyDescent="0.3">
      <c r="G550" s="24"/>
      <c r="I550" s="24"/>
    </row>
    <row r="551" spans="7:9" x14ac:dyDescent="0.3">
      <c r="G551" s="24"/>
      <c r="I551" s="24"/>
    </row>
    <row r="552" spans="7:9" x14ac:dyDescent="0.3">
      <c r="G552" s="24"/>
      <c r="I552" s="24"/>
    </row>
    <row r="553" spans="7:9" x14ac:dyDescent="0.3">
      <c r="G553" s="24"/>
      <c r="I553" s="24"/>
    </row>
    <row r="554" spans="7:9" x14ac:dyDescent="0.3">
      <c r="G554" s="24"/>
      <c r="I554" s="24"/>
    </row>
    <row r="555" spans="7:9" x14ac:dyDescent="0.3">
      <c r="G555" s="24"/>
      <c r="I555" s="24"/>
    </row>
    <row r="556" spans="7:9" x14ac:dyDescent="0.3">
      <c r="G556" s="24"/>
      <c r="I556" s="24"/>
    </row>
    <row r="557" spans="7:9" x14ac:dyDescent="0.3">
      <c r="G557" s="24"/>
      <c r="I557" s="24"/>
    </row>
    <row r="558" spans="7:9" x14ac:dyDescent="0.3">
      <c r="G558" s="24"/>
      <c r="I558" s="24"/>
    </row>
    <row r="559" spans="7:9" x14ac:dyDescent="0.3">
      <c r="G559" s="24"/>
      <c r="I559" s="24"/>
    </row>
    <row r="560" spans="7:9" x14ac:dyDescent="0.3">
      <c r="G560" s="24"/>
      <c r="I560" s="24"/>
    </row>
    <row r="561" spans="7:9" x14ac:dyDescent="0.3">
      <c r="G561" s="24"/>
      <c r="I561" s="24"/>
    </row>
    <row r="562" spans="7:9" x14ac:dyDescent="0.3">
      <c r="G562" s="24"/>
      <c r="I562" s="24"/>
    </row>
    <row r="563" spans="7:9" x14ac:dyDescent="0.3">
      <c r="G563" s="24"/>
      <c r="I563" s="24"/>
    </row>
    <row r="564" spans="7:9" x14ac:dyDescent="0.3">
      <c r="G564" s="24"/>
      <c r="I564" s="24"/>
    </row>
    <row r="565" spans="7:9" x14ac:dyDescent="0.3">
      <c r="G565" s="24"/>
      <c r="I565" s="24"/>
    </row>
    <row r="566" spans="7:9" x14ac:dyDescent="0.3">
      <c r="G566" s="24"/>
      <c r="I566" s="24"/>
    </row>
    <row r="567" spans="7:9" x14ac:dyDescent="0.3">
      <c r="G567" s="24"/>
      <c r="I567" s="24"/>
    </row>
    <row r="568" spans="7:9" x14ac:dyDescent="0.3">
      <c r="G568" s="24"/>
      <c r="I568" s="24"/>
    </row>
    <row r="569" spans="7:9" x14ac:dyDescent="0.3">
      <c r="G569" s="24"/>
      <c r="I569" s="24"/>
    </row>
    <row r="570" spans="7:9" x14ac:dyDescent="0.3">
      <c r="G570" s="24"/>
      <c r="I570" s="24"/>
    </row>
    <row r="571" spans="7:9" x14ac:dyDescent="0.3">
      <c r="G571" s="24"/>
      <c r="I571" s="24"/>
    </row>
    <row r="572" spans="7:9" x14ac:dyDescent="0.3">
      <c r="G572" s="24"/>
      <c r="I572" s="24"/>
    </row>
    <row r="573" spans="7:9" x14ac:dyDescent="0.3">
      <c r="G573" s="24"/>
      <c r="I573" s="24"/>
    </row>
    <row r="574" spans="7:9" x14ac:dyDescent="0.3">
      <c r="G574" s="24"/>
      <c r="I574" s="24"/>
    </row>
    <row r="575" spans="7:9" x14ac:dyDescent="0.3">
      <c r="G575" s="24"/>
      <c r="I575" s="24"/>
    </row>
    <row r="576" spans="7:9" x14ac:dyDescent="0.3">
      <c r="G576" s="24"/>
      <c r="I576" s="24"/>
    </row>
    <row r="577" spans="7:9" x14ac:dyDescent="0.3">
      <c r="G577" s="24"/>
      <c r="I577" s="24"/>
    </row>
    <row r="578" spans="7:9" x14ac:dyDescent="0.3">
      <c r="G578" s="24"/>
      <c r="I578" s="24"/>
    </row>
    <row r="579" spans="7:9" x14ac:dyDescent="0.3">
      <c r="G579" s="24"/>
      <c r="I579" s="24"/>
    </row>
    <row r="580" spans="7:9" x14ac:dyDescent="0.3">
      <c r="G580" s="24"/>
      <c r="I580" s="24"/>
    </row>
    <row r="581" spans="7:9" x14ac:dyDescent="0.3">
      <c r="G581" s="24"/>
      <c r="I581" s="24"/>
    </row>
    <row r="582" spans="7:9" x14ac:dyDescent="0.3">
      <c r="G582" s="24"/>
      <c r="I582" s="24"/>
    </row>
    <row r="583" spans="7:9" x14ac:dyDescent="0.3">
      <c r="G583" s="24"/>
      <c r="I583" s="24"/>
    </row>
    <row r="584" spans="7:9" x14ac:dyDescent="0.3">
      <c r="G584" s="24"/>
      <c r="I584" s="24"/>
    </row>
    <row r="585" spans="7:9" x14ac:dyDescent="0.3">
      <c r="G585" s="24"/>
      <c r="I585" s="24"/>
    </row>
    <row r="586" spans="7:9" x14ac:dyDescent="0.3">
      <c r="G586" s="24"/>
      <c r="I586" s="24"/>
    </row>
    <row r="587" spans="7:9" x14ac:dyDescent="0.3">
      <c r="G587" s="24"/>
      <c r="I587" s="24"/>
    </row>
    <row r="588" spans="7:9" x14ac:dyDescent="0.3">
      <c r="G588" s="24"/>
      <c r="I588" s="24"/>
    </row>
    <row r="589" spans="7:9" x14ac:dyDescent="0.3">
      <c r="G589" s="24"/>
      <c r="I589" s="24"/>
    </row>
    <row r="590" spans="7:9" x14ac:dyDescent="0.3">
      <c r="G590" s="24"/>
      <c r="I590" s="24"/>
    </row>
    <row r="591" spans="7:9" x14ac:dyDescent="0.3">
      <c r="G591" s="24"/>
      <c r="I591" s="24"/>
    </row>
    <row r="592" spans="7:9" x14ac:dyDescent="0.3">
      <c r="G592" s="24"/>
      <c r="I592" s="24"/>
    </row>
    <row r="593" spans="7:9" x14ac:dyDescent="0.3">
      <c r="G593" s="24"/>
      <c r="I593" s="24"/>
    </row>
    <row r="594" spans="7:9" x14ac:dyDescent="0.3">
      <c r="G594" s="24"/>
      <c r="I594" s="24"/>
    </row>
    <row r="595" spans="7:9" x14ac:dyDescent="0.3">
      <c r="G595" s="24"/>
      <c r="I595" s="24"/>
    </row>
    <row r="596" spans="7:9" x14ac:dyDescent="0.3">
      <c r="G596" s="24"/>
      <c r="I596" s="24"/>
    </row>
    <row r="597" spans="7:9" x14ac:dyDescent="0.3">
      <c r="G597" s="24"/>
      <c r="I597" s="24"/>
    </row>
    <row r="598" spans="7:9" x14ac:dyDescent="0.3">
      <c r="G598" s="24"/>
      <c r="I598" s="24"/>
    </row>
    <row r="599" spans="7:9" x14ac:dyDescent="0.3">
      <c r="G599" s="24"/>
      <c r="I599" s="24"/>
    </row>
    <row r="600" spans="7:9" x14ac:dyDescent="0.3">
      <c r="G600" s="24"/>
      <c r="I600" s="24"/>
    </row>
    <row r="601" spans="7:9" x14ac:dyDescent="0.3">
      <c r="G601" s="24"/>
      <c r="I601" s="24"/>
    </row>
    <row r="602" spans="7:9" x14ac:dyDescent="0.3">
      <c r="G602" s="24"/>
      <c r="I602" s="24"/>
    </row>
    <row r="603" spans="7:9" x14ac:dyDescent="0.3">
      <c r="G603" s="24"/>
      <c r="I603" s="24"/>
    </row>
    <row r="604" spans="7:9" x14ac:dyDescent="0.3">
      <c r="G604" s="24"/>
      <c r="I604" s="24"/>
    </row>
    <row r="605" spans="7:9" x14ac:dyDescent="0.3">
      <c r="G605" s="24"/>
      <c r="I605" s="24"/>
    </row>
    <row r="606" spans="7:9" x14ac:dyDescent="0.3">
      <c r="G606" s="24"/>
      <c r="I606" s="24"/>
    </row>
    <row r="607" spans="7:9" x14ac:dyDescent="0.3">
      <c r="G607" s="24"/>
      <c r="I607" s="24"/>
    </row>
    <row r="608" spans="7:9" x14ac:dyDescent="0.3">
      <c r="G608" s="24"/>
      <c r="I608" s="24"/>
    </row>
    <row r="609" spans="7:9" x14ac:dyDescent="0.3">
      <c r="G609" s="24"/>
      <c r="I609" s="24"/>
    </row>
    <row r="610" spans="7:9" x14ac:dyDescent="0.3">
      <c r="G610" s="24"/>
      <c r="I610" s="24"/>
    </row>
    <row r="611" spans="7:9" x14ac:dyDescent="0.3">
      <c r="G611" s="24"/>
      <c r="I611" s="24"/>
    </row>
    <row r="612" spans="7:9" x14ac:dyDescent="0.3">
      <c r="G612" s="24"/>
      <c r="I612" s="24"/>
    </row>
    <row r="613" spans="7:9" x14ac:dyDescent="0.3">
      <c r="G613" s="24"/>
      <c r="I613" s="24"/>
    </row>
    <row r="614" spans="7:9" x14ac:dyDescent="0.3">
      <c r="G614" s="24"/>
      <c r="I614" s="24"/>
    </row>
    <row r="615" spans="7:9" x14ac:dyDescent="0.3">
      <c r="G615" s="24"/>
      <c r="I615" s="24"/>
    </row>
    <row r="616" spans="7:9" x14ac:dyDescent="0.3">
      <c r="G616" s="24"/>
      <c r="I616" s="24"/>
    </row>
    <row r="617" spans="7:9" x14ac:dyDescent="0.3">
      <c r="G617" s="24"/>
      <c r="I617" s="24"/>
    </row>
    <row r="618" spans="7:9" x14ac:dyDescent="0.3">
      <c r="G618" s="24"/>
      <c r="I618" s="24"/>
    </row>
    <row r="619" spans="7:9" x14ac:dyDescent="0.3">
      <c r="G619" s="24"/>
      <c r="I619" s="24"/>
    </row>
    <row r="620" spans="7:9" x14ac:dyDescent="0.3">
      <c r="G620" s="24"/>
      <c r="I620" s="24"/>
    </row>
    <row r="621" spans="7:9" x14ac:dyDescent="0.3">
      <c r="G621" s="24"/>
      <c r="I621" s="24"/>
    </row>
    <row r="622" spans="7:9" x14ac:dyDescent="0.3">
      <c r="G622" s="24"/>
      <c r="I622" s="24"/>
    </row>
    <row r="623" spans="7:9" x14ac:dyDescent="0.3">
      <c r="G623" s="24"/>
      <c r="I623" s="24"/>
    </row>
    <row r="624" spans="7:9" x14ac:dyDescent="0.3">
      <c r="G624" s="24"/>
      <c r="I624" s="24"/>
    </row>
    <row r="625" spans="7:9" x14ac:dyDescent="0.3">
      <c r="G625" s="24"/>
      <c r="I625" s="24"/>
    </row>
    <row r="626" spans="7:9" x14ac:dyDescent="0.3">
      <c r="G626" s="24"/>
      <c r="I626" s="24"/>
    </row>
    <row r="627" spans="7:9" x14ac:dyDescent="0.3">
      <c r="G627" s="24"/>
      <c r="I627" s="24"/>
    </row>
    <row r="628" spans="7:9" x14ac:dyDescent="0.3">
      <c r="G628" s="24"/>
      <c r="I628" s="24"/>
    </row>
    <row r="629" spans="7:9" x14ac:dyDescent="0.3">
      <c r="G629" s="24"/>
      <c r="I629" s="24"/>
    </row>
    <row r="630" spans="7:9" x14ac:dyDescent="0.3">
      <c r="G630" s="24"/>
      <c r="I630" s="24"/>
    </row>
    <row r="631" spans="7:9" x14ac:dyDescent="0.3">
      <c r="G631" s="24"/>
      <c r="I631" s="24"/>
    </row>
    <row r="632" spans="7:9" x14ac:dyDescent="0.3">
      <c r="G632" s="24"/>
      <c r="I632" s="24"/>
    </row>
    <row r="633" spans="7:9" x14ac:dyDescent="0.3">
      <c r="G633" s="24"/>
      <c r="I633" s="24"/>
    </row>
    <row r="634" spans="7:9" x14ac:dyDescent="0.3">
      <c r="G634" s="24"/>
      <c r="I634" s="24"/>
    </row>
    <row r="635" spans="7:9" x14ac:dyDescent="0.3">
      <c r="G635" s="24"/>
      <c r="I635" s="24"/>
    </row>
    <row r="636" spans="7:9" x14ac:dyDescent="0.3">
      <c r="G636" s="24"/>
      <c r="I636" s="24"/>
    </row>
    <row r="637" spans="7:9" x14ac:dyDescent="0.3">
      <c r="G637" s="24"/>
      <c r="I637" s="24"/>
    </row>
    <row r="638" spans="7:9" x14ac:dyDescent="0.3">
      <c r="G638" s="24"/>
      <c r="I638" s="24"/>
    </row>
    <row r="639" spans="7:9" x14ac:dyDescent="0.3">
      <c r="G639" s="24"/>
      <c r="I639" s="24"/>
    </row>
    <row r="640" spans="7:9" x14ac:dyDescent="0.3">
      <c r="G640" s="24"/>
      <c r="I640" s="24"/>
    </row>
    <row r="641" spans="7:9" x14ac:dyDescent="0.3">
      <c r="G641" s="24"/>
      <c r="I641" s="24"/>
    </row>
    <row r="642" spans="7:9" x14ac:dyDescent="0.3">
      <c r="G642" s="24"/>
      <c r="I642" s="24"/>
    </row>
    <row r="643" spans="7:9" x14ac:dyDescent="0.3">
      <c r="G643" s="24"/>
      <c r="I643" s="24"/>
    </row>
    <row r="644" spans="7:9" x14ac:dyDescent="0.3">
      <c r="G644" s="24"/>
      <c r="I644" s="24"/>
    </row>
    <row r="645" spans="7:9" x14ac:dyDescent="0.3">
      <c r="G645" s="24"/>
      <c r="I645" s="24"/>
    </row>
    <row r="646" spans="7:9" x14ac:dyDescent="0.3">
      <c r="G646" s="24"/>
      <c r="I646" s="24"/>
    </row>
    <row r="647" spans="7:9" x14ac:dyDescent="0.3">
      <c r="G647" s="24"/>
      <c r="I647" s="24"/>
    </row>
    <row r="648" spans="7:9" x14ac:dyDescent="0.3">
      <c r="G648" s="24"/>
      <c r="I648" s="24"/>
    </row>
    <row r="649" spans="7:9" x14ac:dyDescent="0.3">
      <c r="G649" s="24"/>
      <c r="I649" s="24"/>
    </row>
    <row r="650" spans="7:9" x14ac:dyDescent="0.3">
      <c r="G650" s="24"/>
      <c r="I650" s="24"/>
    </row>
    <row r="651" spans="7:9" x14ac:dyDescent="0.3">
      <c r="G651" s="24"/>
      <c r="I651" s="24"/>
    </row>
    <row r="652" spans="7:9" x14ac:dyDescent="0.3">
      <c r="G652" s="24"/>
      <c r="I652" s="24"/>
    </row>
    <row r="653" spans="7:9" x14ac:dyDescent="0.3">
      <c r="G653" s="24"/>
      <c r="I653" s="24"/>
    </row>
    <row r="654" spans="7:9" x14ac:dyDescent="0.3">
      <c r="G654" s="24"/>
      <c r="I654" s="24"/>
    </row>
    <row r="655" spans="7:9" x14ac:dyDescent="0.3">
      <c r="G655" s="24"/>
      <c r="I655" s="24"/>
    </row>
    <row r="656" spans="7:9" x14ac:dyDescent="0.3">
      <c r="G656" s="24"/>
      <c r="I656" s="24"/>
    </row>
    <row r="657" spans="7:9" x14ac:dyDescent="0.3">
      <c r="G657" s="24"/>
      <c r="I657" s="24"/>
    </row>
    <row r="658" spans="7:9" x14ac:dyDescent="0.3">
      <c r="G658" s="24"/>
      <c r="I658" s="24"/>
    </row>
    <row r="659" spans="7:9" x14ac:dyDescent="0.3">
      <c r="G659" s="24"/>
      <c r="I659" s="24"/>
    </row>
    <row r="660" spans="7:9" x14ac:dyDescent="0.3">
      <c r="G660" s="24"/>
      <c r="I660" s="24"/>
    </row>
    <row r="661" spans="7:9" x14ac:dyDescent="0.3">
      <c r="G661" s="24"/>
      <c r="I661" s="24"/>
    </row>
    <row r="662" spans="7:9" x14ac:dyDescent="0.3">
      <c r="G662" s="24"/>
      <c r="I662" s="24"/>
    </row>
    <row r="663" spans="7:9" x14ac:dyDescent="0.3">
      <c r="G663" s="24"/>
      <c r="I663" s="24"/>
    </row>
    <row r="664" spans="7:9" x14ac:dyDescent="0.3">
      <c r="G664" s="24"/>
      <c r="I664" s="24"/>
    </row>
    <row r="665" spans="7:9" x14ac:dyDescent="0.3">
      <c r="G665" s="24"/>
      <c r="I665" s="24"/>
    </row>
    <row r="666" spans="7:9" x14ac:dyDescent="0.3">
      <c r="G666" s="24"/>
      <c r="I666" s="24"/>
    </row>
    <row r="667" spans="7:9" x14ac:dyDescent="0.3">
      <c r="G667" s="24"/>
      <c r="I667" s="24"/>
    </row>
    <row r="668" spans="7:9" x14ac:dyDescent="0.3">
      <c r="G668" s="24"/>
      <c r="I668" s="24"/>
    </row>
    <row r="669" spans="7:9" x14ac:dyDescent="0.3">
      <c r="G669" s="24"/>
      <c r="I669" s="24"/>
    </row>
    <row r="670" spans="7:9" x14ac:dyDescent="0.3">
      <c r="G670" s="24"/>
      <c r="I670" s="24"/>
    </row>
    <row r="671" spans="7:9" x14ac:dyDescent="0.3">
      <c r="G671" s="24"/>
      <c r="I671" s="24"/>
    </row>
    <row r="672" spans="7:9" x14ac:dyDescent="0.3">
      <c r="G672" s="24"/>
      <c r="I672" s="24"/>
    </row>
    <row r="673" spans="7:9" x14ac:dyDescent="0.3">
      <c r="G673" s="24"/>
      <c r="I673" s="24"/>
    </row>
    <row r="674" spans="7:9" x14ac:dyDescent="0.3">
      <c r="G674" s="24"/>
      <c r="I674" s="24"/>
    </row>
    <row r="675" spans="7:9" x14ac:dyDescent="0.3">
      <c r="G675" s="24"/>
      <c r="I675" s="24"/>
    </row>
    <row r="676" spans="7:9" x14ac:dyDescent="0.3">
      <c r="G676" s="24"/>
      <c r="I676" s="24"/>
    </row>
    <row r="677" spans="7:9" x14ac:dyDescent="0.3">
      <c r="G677" s="24"/>
      <c r="I677" s="24"/>
    </row>
    <row r="678" spans="7:9" x14ac:dyDescent="0.3">
      <c r="G678" s="24"/>
      <c r="I678" s="24"/>
    </row>
    <row r="679" spans="7:9" x14ac:dyDescent="0.3">
      <c r="G679" s="24"/>
      <c r="I679" s="24"/>
    </row>
    <row r="680" spans="7:9" x14ac:dyDescent="0.3">
      <c r="G680" s="24"/>
      <c r="I680" s="24"/>
    </row>
    <row r="681" spans="7:9" x14ac:dyDescent="0.3">
      <c r="G681" s="24"/>
      <c r="I681" s="24"/>
    </row>
    <row r="682" spans="7:9" x14ac:dyDescent="0.3">
      <c r="G682" s="24"/>
      <c r="I682" s="24"/>
    </row>
    <row r="683" spans="7:9" x14ac:dyDescent="0.3">
      <c r="G683" s="24"/>
      <c r="I683" s="24"/>
    </row>
    <row r="684" spans="7:9" x14ac:dyDescent="0.3">
      <c r="G684" s="24"/>
      <c r="I684" s="24"/>
    </row>
    <row r="685" spans="7:9" x14ac:dyDescent="0.3">
      <c r="G685" s="24"/>
      <c r="I685" s="24"/>
    </row>
    <row r="686" spans="7:9" x14ac:dyDescent="0.3">
      <c r="G686" s="24"/>
      <c r="I686" s="24"/>
    </row>
    <row r="687" spans="7:9" x14ac:dyDescent="0.3">
      <c r="G687" s="24"/>
      <c r="I687" s="24"/>
    </row>
    <row r="688" spans="7:9" x14ac:dyDescent="0.3">
      <c r="G688" s="24"/>
      <c r="I688" s="24"/>
    </row>
    <row r="689" spans="7:9" x14ac:dyDescent="0.3">
      <c r="G689" s="24"/>
      <c r="I689" s="24"/>
    </row>
    <row r="690" spans="7:9" x14ac:dyDescent="0.3">
      <c r="G690" s="24"/>
      <c r="I690" s="24"/>
    </row>
    <row r="691" spans="7:9" x14ac:dyDescent="0.3">
      <c r="G691" s="24"/>
      <c r="I691" s="24"/>
    </row>
    <row r="692" spans="7:9" x14ac:dyDescent="0.3">
      <c r="G692" s="24"/>
      <c r="I692" s="24"/>
    </row>
    <row r="693" spans="7:9" x14ac:dyDescent="0.3">
      <c r="G693" s="24"/>
      <c r="I693" s="24"/>
    </row>
    <row r="694" spans="7:9" x14ac:dyDescent="0.3">
      <c r="G694" s="24"/>
      <c r="I694" s="24"/>
    </row>
    <row r="695" spans="7:9" x14ac:dyDescent="0.3">
      <c r="G695" s="24"/>
      <c r="I695" s="24"/>
    </row>
    <row r="696" spans="7:9" x14ac:dyDescent="0.3">
      <c r="G696" s="24"/>
      <c r="I696" s="24"/>
    </row>
    <row r="697" spans="7:9" x14ac:dyDescent="0.3">
      <c r="G697" s="24"/>
      <c r="I697" s="24"/>
    </row>
    <row r="698" spans="7:9" x14ac:dyDescent="0.3">
      <c r="G698" s="24"/>
      <c r="I698" s="24"/>
    </row>
    <row r="699" spans="7:9" x14ac:dyDescent="0.3">
      <c r="G699" s="24"/>
      <c r="I699" s="24"/>
    </row>
    <row r="700" spans="7:9" x14ac:dyDescent="0.3">
      <c r="G700" s="24"/>
      <c r="I700" s="24"/>
    </row>
    <row r="701" spans="7:9" x14ac:dyDescent="0.3">
      <c r="G701" s="24"/>
      <c r="I701" s="24"/>
    </row>
    <row r="702" spans="7:9" x14ac:dyDescent="0.3">
      <c r="G702" s="24"/>
      <c r="I702" s="24"/>
    </row>
    <row r="703" spans="7:9" x14ac:dyDescent="0.3">
      <c r="G703" s="24"/>
      <c r="I703" s="24"/>
    </row>
    <row r="704" spans="7:9" x14ac:dyDescent="0.3">
      <c r="G704" s="24"/>
      <c r="I704" s="24"/>
    </row>
    <row r="705" spans="7:9" x14ac:dyDescent="0.3">
      <c r="G705" s="24"/>
      <c r="I705" s="24"/>
    </row>
    <row r="706" spans="7:9" x14ac:dyDescent="0.3">
      <c r="G706" s="24"/>
      <c r="I706" s="24"/>
    </row>
    <row r="707" spans="7:9" x14ac:dyDescent="0.3">
      <c r="G707" s="24"/>
      <c r="I707" s="24"/>
    </row>
    <row r="708" spans="7:9" x14ac:dyDescent="0.3">
      <c r="G708" s="24"/>
      <c r="I708" s="24"/>
    </row>
    <row r="709" spans="7:9" x14ac:dyDescent="0.3">
      <c r="G709" s="24"/>
      <c r="I709" s="24"/>
    </row>
    <row r="710" spans="7:9" x14ac:dyDescent="0.3">
      <c r="G710" s="24"/>
      <c r="I710" s="24"/>
    </row>
    <row r="711" spans="7:9" x14ac:dyDescent="0.3">
      <c r="G711" s="24"/>
      <c r="I711" s="24"/>
    </row>
    <row r="712" spans="7:9" x14ac:dyDescent="0.3">
      <c r="G712" s="24"/>
      <c r="I712" s="24"/>
    </row>
    <row r="713" spans="7:9" x14ac:dyDescent="0.3">
      <c r="G713" s="24"/>
      <c r="I713" s="24"/>
    </row>
    <row r="714" spans="7:9" x14ac:dyDescent="0.3">
      <c r="G714" s="24"/>
      <c r="I714" s="24"/>
    </row>
    <row r="715" spans="7:9" x14ac:dyDescent="0.3">
      <c r="G715" s="24"/>
      <c r="I715" s="24"/>
    </row>
    <row r="716" spans="7:9" x14ac:dyDescent="0.3">
      <c r="G716" s="24"/>
      <c r="I716" s="24"/>
    </row>
    <row r="717" spans="7:9" x14ac:dyDescent="0.3">
      <c r="G717" s="24"/>
      <c r="I717" s="24"/>
    </row>
    <row r="718" spans="7:9" x14ac:dyDescent="0.3">
      <c r="G718" s="24"/>
      <c r="I718" s="24"/>
    </row>
    <row r="719" spans="7:9" x14ac:dyDescent="0.3">
      <c r="G719" s="24"/>
      <c r="I719" s="24"/>
    </row>
    <row r="720" spans="7:9" x14ac:dyDescent="0.3">
      <c r="G720" s="24"/>
      <c r="I720" s="24"/>
    </row>
    <row r="721" spans="7:9" x14ac:dyDescent="0.3">
      <c r="G721" s="24"/>
      <c r="I721" s="24"/>
    </row>
    <row r="722" spans="7:9" x14ac:dyDescent="0.3">
      <c r="G722" s="24"/>
      <c r="I722" s="24"/>
    </row>
    <row r="723" spans="7:9" x14ac:dyDescent="0.3">
      <c r="G723" s="24"/>
      <c r="I723" s="24"/>
    </row>
    <row r="724" spans="7:9" x14ac:dyDescent="0.3">
      <c r="G724" s="24"/>
      <c r="I724" s="24"/>
    </row>
    <row r="725" spans="7:9" x14ac:dyDescent="0.3">
      <c r="G725" s="24"/>
      <c r="I725" s="24"/>
    </row>
    <row r="726" spans="7:9" x14ac:dyDescent="0.3">
      <c r="G726" s="24"/>
      <c r="I726" s="24"/>
    </row>
    <row r="727" spans="7:9" x14ac:dyDescent="0.3">
      <c r="G727" s="24"/>
      <c r="I727" s="24"/>
    </row>
    <row r="728" spans="7:9" x14ac:dyDescent="0.3">
      <c r="G728" s="24"/>
      <c r="I728" s="24"/>
    </row>
    <row r="729" spans="7:9" x14ac:dyDescent="0.3">
      <c r="G729" s="24"/>
      <c r="I729" s="24"/>
    </row>
    <row r="730" spans="7:9" x14ac:dyDescent="0.3">
      <c r="G730" s="24"/>
      <c r="I730" s="24"/>
    </row>
    <row r="731" spans="7:9" x14ac:dyDescent="0.3">
      <c r="G731" s="24"/>
      <c r="I731" s="24"/>
    </row>
    <row r="732" spans="7:9" x14ac:dyDescent="0.3">
      <c r="G732" s="24"/>
      <c r="I732" s="24"/>
    </row>
    <row r="733" spans="7:9" x14ac:dyDescent="0.3">
      <c r="G733" s="24"/>
      <c r="I733" s="24"/>
    </row>
    <row r="734" spans="7:9" x14ac:dyDescent="0.3">
      <c r="G734" s="24"/>
      <c r="I734" s="24"/>
    </row>
    <row r="735" spans="7:9" x14ac:dyDescent="0.3">
      <c r="G735" s="24"/>
      <c r="I735" s="24"/>
    </row>
    <row r="736" spans="7:9" x14ac:dyDescent="0.3">
      <c r="G736" s="24"/>
      <c r="I736" s="24"/>
    </row>
    <row r="737" spans="7:9" x14ac:dyDescent="0.3">
      <c r="G737" s="24"/>
      <c r="I737" s="24"/>
    </row>
    <row r="738" spans="7:9" x14ac:dyDescent="0.3">
      <c r="G738" s="24"/>
      <c r="I738" s="24"/>
    </row>
    <row r="739" spans="7:9" x14ac:dyDescent="0.3">
      <c r="G739" s="24"/>
      <c r="I739" s="24"/>
    </row>
    <row r="740" spans="7:9" x14ac:dyDescent="0.3">
      <c r="G740" s="24"/>
      <c r="I740" s="24"/>
    </row>
    <row r="741" spans="7:9" x14ac:dyDescent="0.3">
      <c r="G741" s="24"/>
      <c r="I741" s="24"/>
    </row>
    <row r="742" spans="7:9" x14ac:dyDescent="0.3">
      <c r="G742" s="24"/>
      <c r="I742" s="24"/>
    </row>
    <row r="743" spans="7:9" x14ac:dyDescent="0.3">
      <c r="G743" s="24"/>
      <c r="I743" s="24"/>
    </row>
    <row r="744" spans="7:9" x14ac:dyDescent="0.3">
      <c r="G744" s="24"/>
      <c r="I744" s="24"/>
    </row>
    <row r="745" spans="7:9" x14ac:dyDescent="0.3">
      <c r="G745" s="24"/>
      <c r="I745" s="24"/>
    </row>
    <row r="746" spans="7:9" x14ac:dyDescent="0.3">
      <c r="G746" s="24"/>
      <c r="I746" s="24"/>
    </row>
    <row r="747" spans="7:9" x14ac:dyDescent="0.3">
      <c r="G747" s="24"/>
      <c r="I747" s="24"/>
    </row>
    <row r="748" spans="7:9" x14ac:dyDescent="0.3">
      <c r="G748" s="24"/>
      <c r="I748" s="24"/>
    </row>
    <row r="749" spans="7:9" x14ac:dyDescent="0.3">
      <c r="G749" s="24"/>
      <c r="I749" s="24"/>
    </row>
    <row r="750" spans="7:9" x14ac:dyDescent="0.3">
      <c r="G750" s="24"/>
      <c r="I750" s="24"/>
    </row>
    <row r="751" spans="7:9" x14ac:dyDescent="0.3">
      <c r="G751" s="24"/>
      <c r="I751" s="24"/>
    </row>
    <row r="752" spans="7:9" x14ac:dyDescent="0.3">
      <c r="G752" s="24"/>
      <c r="I752" s="24"/>
    </row>
    <row r="753" spans="7:9" x14ac:dyDescent="0.3">
      <c r="G753" s="24"/>
      <c r="I753" s="24"/>
    </row>
    <row r="754" spans="7:9" x14ac:dyDescent="0.3">
      <c r="G754" s="24"/>
      <c r="I754" s="24"/>
    </row>
    <row r="755" spans="7:9" x14ac:dyDescent="0.3">
      <c r="G755" s="24"/>
      <c r="I755" s="24"/>
    </row>
    <row r="756" spans="7:9" x14ac:dyDescent="0.3">
      <c r="G756" s="24"/>
      <c r="I756" s="24"/>
    </row>
    <row r="757" spans="7:9" x14ac:dyDescent="0.3">
      <c r="G757" s="24"/>
      <c r="I757" s="24"/>
    </row>
    <row r="758" spans="7:9" x14ac:dyDescent="0.3">
      <c r="G758" s="24"/>
      <c r="I758" s="24"/>
    </row>
    <row r="759" spans="7:9" x14ac:dyDescent="0.3">
      <c r="G759" s="24"/>
      <c r="I759" s="24"/>
    </row>
    <row r="760" spans="7:9" x14ac:dyDescent="0.3">
      <c r="G760" s="24"/>
      <c r="I760" s="24"/>
    </row>
    <row r="761" spans="7:9" x14ac:dyDescent="0.3">
      <c r="G761" s="24"/>
      <c r="I761" s="24"/>
    </row>
    <row r="762" spans="7:9" x14ac:dyDescent="0.3">
      <c r="G762" s="24"/>
      <c r="I762" s="24"/>
    </row>
    <row r="763" spans="7:9" x14ac:dyDescent="0.3">
      <c r="G763" s="24"/>
      <c r="I763" s="24"/>
    </row>
    <row r="764" spans="7:9" x14ac:dyDescent="0.3">
      <c r="G764" s="24"/>
      <c r="I764" s="24"/>
    </row>
    <row r="765" spans="7:9" x14ac:dyDescent="0.3">
      <c r="G765" s="24"/>
      <c r="I765" s="24"/>
    </row>
    <row r="766" spans="7:9" x14ac:dyDescent="0.3">
      <c r="G766" s="24"/>
      <c r="I766" s="24"/>
    </row>
    <row r="767" spans="7:9" x14ac:dyDescent="0.3">
      <c r="G767" s="24"/>
      <c r="I767" s="24"/>
    </row>
    <row r="768" spans="7:9" x14ac:dyDescent="0.3">
      <c r="G768" s="24"/>
      <c r="I768" s="24"/>
    </row>
    <row r="769" spans="7:9" x14ac:dyDescent="0.3">
      <c r="G769" s="24"/>
      <c r="I769" s="24"/>
    </row>
    <row r="770" spans="7:9" x14ac:dyDescent="0.3">
      <c r="G770" s="24"/>
      <c r="I770" s="24"/>
    </row>
    <row r="771" spans="7:9" x14ac:dyDescent="0.3">
      <c r="G771" s="24"/>
      <c r="I771" s="24"/>
    </row>
    <row r="772" spans="7:9" x14ac:dyDescent="0.3">
      <c r="G772" s="24"/>
      <c r="I772" s="24"/>
    </row>
    <row r="773" spans="7:9" x14ac:dyDescent="0.3">
      <c r="G773" s="24"/>
      <c r="I773" s="24"/>
    </row>
    <row r="774" spans="7:9" x14ac:dyDescent="0.3">
      <c r="G774" s="24"/>
      <c r="I774" s="24"/>
    </row>
    <row r="775" spans="7:9" x14ac:dyDescent="0.3">
      <c r="G775" s="24"/>
      <c r="I775" s="24"/>
    </row>
    <row r="776" spans="7:9" x14ac:dyDescent="0.3">
      <c r="G776" s="24"/>
      <c r="I776" s="24"/>
    </row>
    <row r="777" spans="7:9" x14ac:dyDescent="0.3">
      <c r="G777" s="24"/>
      <c r="I777" s="24"/>
    </row>
    <row r="778" spans="7:9" x14ac:dyDescent="0.3">
      <c r="G778" s="24"/>
      <c r="I778" s="24"/>
    </row>
    <row r="779" spans="7:9" x14ac:dyDescent="0.3">
      <c r="G779" s="24"/>
      <c r="I779" s="24"/>
    </row>
    <row r="780" spans="7:9" x14ac:dyDescent="0.3">
      <c r="G780" s="24"/>
      <c r="I780" s="24"/>
    </row>
    <row r="781" spans="7:9" x14ac:dyDescent="0.3">
      <c r="G781" s="24"/>
      <c r="I781" s="24"/>
    </row>
    <row r="782" spans="7:9" x14ac:dyDescent="0.3">
      <c r="G782" s="24"/>
      <c r="I782" s="24"/>
    </row>
    <row r="783" spans="7:9" x14ac:dyDescent="0.3">
      <c r="G783" s="24"/>
      <c r="I783" s="24"/>
    </row>
    <row r="784" spans="7:9" x14ac:dyDescent="0.3">
      <c r="G784" s="24"/>
      <c r="I784" s="24"/>
    </row>
    <row r="785" spans="7:9" x14ac:dyDescent="0.3">
      <c r="G785" s="24"/>
      <c r="I785" s="24"/>
    </row>
    <row r="786" spans="7:9" x14ac:dyDescent="0.3">
      <c r="G786" s="24"/>
      <c r="I786" s="24"/>
    </row>
    <row r="787" spans="7:9" x14ac:dyDescent="0.3">
      <c r="G787" s="24"/>
      <c r="I787" s="24"/>
    </row>
    <row r="788" spans="7:9" x14ac:dyDescent="0.3">
      <c r="G788" s="24"/>
      <c r="I788" s="24"/>
    </row>
    <row r="789" spans="7:9" x14ac:dyDescent="0.3">
      <c r="G789" s="24"/>
      <c r="I789" s="24"/>
    </row>
    <row r="790" spans="7:9" x14ac:dyDescent="0.3">
      <c r="G790" s="24"/>
      <c r="I790" s="24"/>
    </row>
    <row r="791" spans="7:9" x14ac:dyDescent="0.3">
      <c r="G791" s="24"/>
      <c r="I791" s="24"/>
    </row>
    <row r="792" spans="7:9" x14ac:dyDescent="0.3">
      <c r="G792" s="24"/>
      <c r="I792" s="24"/>
    </row>
    <row r="793" spans="7:9" x14ac:dyDescent="0.3">
      <c r="G793" s="24"/>
      <c r="I793" s="24"/>
    </row>
    <row r="794" spans="7:9" x14ac:dyDescent="0.3">
      <c r="G794" s="24"/>
      <c r="I794" s="24"/>
    </row>
    <row r="795" spans="7:9" x14ac:dyDescent="0.3">
      <c r="G795" s="24"/>
      <c r="I795" s="24"/>
    </row>
    <row r="796" spans="7:9" x14ac:dyDescent="0.3">
      <c r="G796" s="24"/>
      <c r="I796" s="24"/>
    </row>
    <row r="797" spans="7:9" x14ac:dyDescent="0.3">
      <c r="G797" s="24"/>
      <c r="I797" s="24"/>
    </row>
    <row r="798" spans="7:9" x14ac:dyDescent="0.3">
      <c r="G798" s="24"/>
      <c r="I798" s="24"/>
    </row>
    <row r="799" spans="7:9" x14ac:dyDescent="0.3">
      <c r="G799" s="24"/>
      <c r="I799" s="24"/>
    </row>
    <row r="800" spans="7:9" x14ac:dyDescent="0.3">
      <c r="G800" s="24"/>
      <c r="I800" s="24"/>
    </row>
    <row r="801" spans="7:9" x14ac:dyDescent="0.3">
      <c r="G801" s="24"/>
      <c r="I801" s="24"/>
    </row>
    <row r="802" spans="7:9" x14ac:dyDescent="0.3">
      <c r="G802" s="24"/>
      <c r="I802" s="24"/>
    </row>
    <row r="803" spans="7:9" x14ac:dyDescent="0.3">
      <c r="G803" s="24"/>
      <c r="I803" s="24"/>
    </row>
    <row r="804" spans="7:9" x14ac:dyDescent="0.3">
      <c r="G804" s="24"/>
      <c r="I804" s="24"/>
    </row>
    <row r="805" spans="7:9" x14ac:dyDescent="0.3">
      <c r="G805" s="24"/>
      <c r="I805" s="24"/>
    </row>
    <row r="806" spans="7:9" x14ac:dyDescent="0.3">
      <c r="G806" s="24"/>
      <c r="I806" s="24"/>
    </row>
    <row r="807" spans="7:9" x14ac:dyDescent="0.3">
      <c r="G807" s="24"/>
      <c r="I807" s="24"/>
    </row>
    <row r="808" spans="7:9" x14ac:dyDescent="0.3">
      <c r="G808" s="24"/>
      <c r="I808" s="24"/>
    </row>
    <row r="809" spans="7:9" x14ac:dyDescent="0.3">
      <c r="G809" s="24"/>
      <c r="I809" s="24"/>
    </row>
    <row r="810" spans="7:9" x14ac:dyDescent="0.3">
      <c r="G810" s="24"/>
      <c r="I810" s="24"/>
    </row>
    <row r="811" spans="7:9" x14ac:dyDescent="0.3">
      <c r="G811" s="24"/>
      <c r="I811" s="24"/>
    </row>
    <row r="812" spans="7:9" x14ac:dyDescent="0.3">
      <c r="G812" s="24"/>
      <c r="I812" s="24"/>
    </row>
    <row r="813" spans="7:9" x14ac:dyDescent="0.3">
      <c r="G813" s="24"/>
      <c r="I813" s="24"/>
    </row>
    <row r="814" spans="7:9" x14ac:dyDescent="0.3">
      <c r="G814" s="24"/>
      <c r="I814" s="24"/>
    </row>
    <row r="815" spans="7:9" x14ac:dyDescent="0.3">
      <c r="G815" s="24"/>
      <c r="I815" s="24"/>
    </row>
    <row r="816" spans="7:9" x14ac:dyDescent="0.3">
      <c r="G816" s="24"/>
      <c r="I816" s="24"/>
    </row>
    <row r="817" spans="7:9" x14ac:dyDescent="0.3">
      <c r="G817" s="24"/>
      <c r="I817" s="24"/>
    </row>
    <row r="818" spans="7:9" x14ac:dyDescent="0.3">
      <c r="G818" s="24"/>
      <c r="I818" s="24"/>
    </row>
    <row r="819" spans="7:9" x14ac:dyDescent="0.3">
      <c r="G819" s="24"/>
      <c r="I819" s="24"/>
    </row>
    <row r="820" spans="7:9" x14ac:dyDescent="0.3">
      <c r="G820" s="24"/>
      <c r="I820" s="24"/>
    </row>
    <row r="821" spans="7:9" x14ac:dyDescent="0.3">
      <c r="G821" s="24"/>
      <c r="I821" s="24"/>
    </row>
    <row r="822" spans="7:9" x14ac:dyDescent="0.3">
      <c r="G822" s="24"/>
      <c r="I822" s="24"/>
    </row>
    <row r="823" spans="7:9" x14ac:dyDescent="0.3">
      <c r="G823" s="24"/>
      <c r="I823" s="24"/>
    </row>
    <row r="824" spans="7:9" x14ac:dyDescent="0.3">
      <c r="G824" s="24"/>
      <c r="I824" s="24"/>
    </row>
    <row r="825" spans="7:9" x14ac:dyDescent="0.3">
      <c r="G825" s="24"/>
      <c r="I825" s="24"/>
    </row>
    <row r="826" spans="7:9" x14ac:dyDescent="0.3">
      <c r="G826" s="24"/>
      <c r="I826" s="24"/>
    </row>
    <row r="827" spans="7:9" x14ac:dyDescent="0.3">
      <c r="G827" s="24"/>
      <c r="I827" s="24"/>
    </row>
    <row r="828" spans="7:9" x14ac:dyDescent="0.3">
      <c r="G828" s="24"/>
      <c r="I828" s="24"/>
    </row>
    <row r="829" spans="7:9" x14ac:dyDescent="0.3">
      <c r="G829" s="24"/>
      <c r="I829" s="24"/>
    </row>
    <row r="830" spans="7:9" x14ac:dyDescent="0.3">
      <c r="G830" s="24"/>
      <c r="I830" s="24"/>
    </row>
    <row r="831" spans="7:9" x14ac:dyDescent="0.3">
      <c r="G831" s="24"/>
      <c r="I831" s="24"/>
    </row>
    <row r="832" spans="7:9" x14ac:dyDescent="0.3">
      <c r="G832" s="24"/>
      <c r="I832" s="24"/>
    </row>
    <row r="833" spans="7:9" x14ac:dyDescent="0.3">
      <c r="G833" s="24"/>
      <c r="I833" s="24"/>
    </row>
    <row r="834" spans="7:9" x14ac:dyDescent="0.3">
      <c r="G834" s="24"/>
      <c r="I834" s="24"/>
    </row>
    <row r="835" spans="7:9" x14ac:dyDescent="0.3">
      <c r="G835" s="24"/>
      <c r="I835" s="24"/>
    </row>
    <row r="836" spans="7:9" x14ac:dyDescent="0.3">
      <c r="G836" s="24"/>
      <c r="I836" s="24"/>
    </row>
    <row r="837" spans="7:9" x14ac:dyDescent="0.3">
      <c r="G837" s="24"/>
      <c r="I837" s="24"/>
    </row>
    <row r="838" spans="7:9" x14ac:dyDescent="0.3">
      <c r="G838" s="24"/>
      <c r="I838" s="24"/>
    </row>
    <row r="839" spans="7:9" x14ac:dyDescent="0.3">
      <c r="G839" s="24"/>
      <c r="I839" s="24"/>
    </row>
    <row r="840" spans="7:9" x14ac:dyDescent="0.3">
      <c r="G840" s="24"/>
      <c r="I840" s="24"/>
    </row>
    <row r="841" spans="7:9" x14ac:dyDescent="0.3">
      <c r="G841" s="24"/>
      <c r="I841" s="24"/>
    </row>
    <row r="842" spans="7:9" x14ac:dyDescent="0.3">
      <c r="G842" s="24"/>
      <c r="I842" s="24"/>
    </row>
    <row r="843" spans="7:9" x14ac:dyDescent="0.3">
      <c r="G843" s="24"/>
      <c r="I843" s="24"/>
    </row>
    <row r="844" spans="7:9" x14ac:dyDescent="0.3">
      <c r="G844" s="24"/>
      <c r="I844" s="24"/>
    </row>
    <row r="845" spans="7:9" x14ac:dyDescent="0.3">
      <c r="G845" s="24"/>
      <c r="I845" s="24"/>
    </row>
    <row r="846" spans="7:9" x14ac:dyDescent="0.3">
      <c r="G846" s="24"/>
      <c r="I846" s="24"/>
    </row>
    <row r="847" spans="7:9" x14ac:dyDescent="0.3">
      <c r="G847" s="24"/>
      <c r="I847" s="24"/>
    </row>
    <row r="848" spans="7:9" x14ac:dyDescent="0.3">
      <c r="G848" s="24"/>
      <c r="I848" s="24"/>
    </row>
    <row r="849" spans="7:9" x14ac:dyDescent="0.3">
      <c r="G849" s="24"/>
      <c r="I849" s="24"/>
    </row>
    <row r="850" spans="7:9" x14ac:dyDescent="0.3">
      <c r="G850" s="24"/>
      <c r="I850" s="24"/>
    </row>
    <row r="851" spans="7:9" x14ac:dyDescent="0.3">
      <c r="G851" s="24"/>
      <c r="I851" s="24"/>
    </row>
    <row r="852" spans="7:9" x14ac:dyDescent="0.3">
      <c r="G852" s="24"/>
      <c r="I852" s="24"/>
    </row>
    <row r="853" spans="7:9" x14ac:dyDescent="0.3">
      <c r="G853" s="24"/>
      <c r="I853" s="24"/>
    </row>
    <row r="854" spans="7:9" x14ac:dyDescent="0.3">
      <c r="G854" s="24"/>
      <c r="I854" s="24"/>
    </row>
    <row r="855" spans="7:9" x14ac:dyDescent="0.3">
      <c r="G855" s="24"/>
      <c r="I855" s="24"/>
    </row>
    <row r="856" spans="7:9" x14ac:dyDescent="0.3">
      <c r="G856" s="24"/>
      <c r="I856" s="24"/>
    </row>
    <row r="857" spans="7:9" x14ac:dyDescent="0.3">
      <c r="G857" s="24"/>
      <c r="I857" s="24"/>
    </row>
    <row r="858" spans="7:9" x14ac:dyDescent="0.3">
      <c r="G858" s="24"/>
      <c r="I858" s="24"/>
    </row>
    <row r="859" spans="7:9" x14ac:dyDescent="0.3">
      <c r="G859" s="24"/>
      <c r="I859" s="24"/>
    </row>
    <row r="860" spans="7:9" x14ac:dyDescent="0.3">
      <c r="G860" s="24"/>
      <c r="I860" s="24"/>
    </row>
    <row r="861" spans="7:9" x14ac:dyDescent="0.3">
      <c r="G861" s="24"/>
      <c r="I861" s="24"/>
    </row>
    <row r="862" spans="7:9" x14ac:dyDescent="0.3">
      <c r="G862" s="24"/>
      <c r="I862" s="24"/>
    </row>
    <row r="863" spans="7:9" x14ac:dyDescent="0.3">
      <c r="G863" s="24"/>
      <c r="I863" s="24"/>
    </row>
    <row r="864" spans="7:9" x14ac:dyDescent="0.3">
      <c r="G864" s="24"/>
      <c r="I864" s="24"/>
    </row>
    <row r="865" spans="7:9" x14ac:dyDescent="0.3">
      <c r="G865" s="24"/>
      <c r="I865" s="24"/>
    </row>
    <row r="866" spans="7:9" x14ac:dyDescent="0.3">
      <c r="G866" s="24"/>
      <c r="I866" s="24"/>
    </row>
    <row r="867" spans="7:9" x14ac:dyDescent="0.3">
      <c r="G867" s="24"/>
      <c r="I867" s="24"/>
    </row>
    <row r="868" spans="7:9" x14ac:dyDescent="0.3">
      <c r="G868" s="24"/>
      <c r="I868" s="24"/>
    </row>
    <row r="869" spans="7:9" x14ac:dyDescent="0.3">
      <c r="G869" s="24"/>
      <c r="I869" s="24"/>
    </row>
    <row r="870" spans="7:9" x14ac:dyDescent="0.3">
      <c r="G870" s="24"/>
      <c r="I870" s="24"/>
    </row>
    <row r="871" spans="7:9" x14ac:dyDescent="0.3">
      <c r="G871" s="24"/>
      <c r="I871" s="24"/>
    </row>
    <row r="872" spans="7:9" x14ac:dyDescent="0.3">
      <c r="G872" s="24"/>
      <c r="I872" s="24"/>
    </row>
    <row r="873" spans="7:9" x14ac:dyDescent="0.3">
      <c r="G873" s="24"/>
      <c r="I873" s="24"/>
    </row>
    <row r="874" spans="7:9" x14ac:dyDescent="0.3">
      <c r="G874" s="24"/>
      <c r="I874" s="24"/>
    </row>
    <row r="875" spans="7:9" x14ac:dyDescent="0.3">
      <c r="G875" s="24"/>
      <c r="I875" s="24"/>
    </row>
    <row r="876" spans="7:9" x14ac:dyDescent="0.3">
      <c r="G876" s="24"/>
      <c r="I876" s="24"/>
    </row>
    <row r="877" spans="7:9" x14ac:dyDescent="0.3">
      <c r="G877" s="24"/>
      <c r="I877" s="24"/>
    </row>
    <row r="878" spans="7:9" x14ac:dyDescent="0.3">
      <c r="G878" s="24"/>
      <c r="I878" s="24"/>
    </row>
    <row r="879" spans="7:9" x14ac:dyDescent="0.3">
      <c r="G879" s="24"/>
      <c r="I879" s="24"/>
    </row>
    <row r="880" spans="7:9" x14ac:dyDescent="0.3">
      <c r="G880" s="24"/>
      <c r="I880" s="24"/>
    </row>
    <row r="881" spans="7:9" x14ac:dyDescent="0.3">
      <c r="G881" s="24"/>
      <c r="I881" s="24"/>
    </row>
    <row r="882" spans="7:9" x14ac:dyDescent="0.3">
      <c r="G882" s="24"/>
      <c r="I882" s="24"/>
    </row>
    <row r="883" spans="7:9" x14ac:dyDescent="0.3">
      <c r="G883" s="24"/>
      <c r="I883" s="24"/>
    </row>
    <row r="884" spans="7:9" x14ac:dyDescent="0.3">
      <c r="G884" s="24"/>
      <c r="I884" s="24"/>
    </row>
    <row r="885" spans="7:9" x14ac:dyDescent="0.3">
      <c r="G885" s="24"/>
      <c r="I885" s="24"/>
    </row>
    <row r="886" spans="7:9" x14ac:dyDescent="0.3">
      <c r="G886" s="24"/>
      <c r="I886" s="24"/>
    </row>
    <row r="887" spans="7:9" x14ac:dyDescent="0.3">
      <c r="G887" s="24"/>
      <c r="I887" s="24"/>
    </row>
    <row r="888" spans="7:9" x14ac:dyDescent="0.3">
      <c r="G888" s="24"/>
      <c r="I888" s="24"/>
    </row>
    <row r="889" spans="7:9" x14ac:dyDescent="0.3">
      <c r="G889" s="24"/>
      <c r="I889" s="24"/>
    </row>
    <row r="890" spans="7:9" x14ac:dyDescent="0.3">
      <c r="G890" s="24"/>
      <c r="I890" s="24"/>
    </row>
    <row r="891" spans="7:9" x14ac:dyDescent="0.3">
      <c r="G891" s="24"/>
      <c r="I891" s="24"/>
    </row>
    <row r="892" spans="7:9" x14ac:dyDescent="0.3">
      <c r="G892" s="24"/>
      <c r="I892" s="24"/>
    </row>
    <row r="893" spans="7:9" x14ac:dyDescent="0.3">
      <c r="G893" s="24"/>
      <c r="I893" s="24"/>
    </row>
    <row r="894" spans="7:9" x14ac:dyDescent="0.3">
      <c r="G894" s="24"/>
      <c r="I894" s="24"/>
    </row>
    <row r="895" spans="7:9" x14ac:dyDescent="0.3">
      <c r="G895" s="24"/>
      <c r="I895" s="24"/>
    </row>
    <row r="896" spans="7:9" x14ac:dyDescent="0.3">
      <c r="G896" s="24"/>
      <c r="I896" s="24"/>
    </row>
    <row r="897" spans="7:9" x14ac:dyDescent="0.3">
      <c r="G897" s="24"/>
      <c r="I897" s="24"/>
    </row>
    <row r="898" spans="7:9" x14ac:dyDescent="0.3">
      <c r="G898" s="24"/>
      <c r="I898" s="24"/>
    </row>
    <row r="899" spans="7:9" x14ac:dyDescent="0.3">
      <c r="G899" s="24"/>
      <c r="I899" s="24"/>
    </row>
    <row r="900" spans="7:9" x14ac:dyDescent="0.3">
      <c r="G900" s="24"/>
      <c r="I900" s="24"/>
    </row>
    <row r="901" spans="7:9" x14ac:dyDescent="0.3">
      <c r="G901" s="24"/>
      <c r="I901" s="24"/>
    </row>
    <row r="902" spans="7:9" x14ac:dyDescent="0.3">
      <c r="G902" s="24"/>
      <c r="I902" s="24"/>
    </row>
    <row r="903" spans="7:9" x14ac:dyDescent="0.3">
      <c r="G903" s="24"/>
      <c r="I903" s="24"/>
    </row>
    <row r="904" spans="7:9" x14ac:dyDescent="0.3">
      <c r="G904" s="24"/>
      <c r="I904" s="24"/>
    </row>
    <row r="905" spans="7:9" x14ac:dyDescent="0.3">
      <c r="G905" s="24"/>
      <c r="I905" s="24"/>
    </row>
    <row r="906" spans="7:9" x14ac:dyDescent="0.3">
      <c r="G906" s="24"/>
      <c r="I906" s="24"/>
    </row>
    <row r="907" spans="7:9" x14ac:dyDescent="0.3">
      <c r="G907" s="24"/>
      <c r="I907" s="24"/>
    </row>
    <row r="908" spans="7:9" x14ac:dyDescent="0.3">
      <c r="G908" s="24"/>
      <c r="I908" s="24"/>
    </row>
    <row r="909" spans="7:9" x14ac:dyDescent="0.3">
      <c r="G909" s="24"/>
      <c r="I909" s="24"/>
    </row>
    <row r="910" spans="7:9" x14ac:dyDescent="0.3">
      <c r="G910" s="24"/>
      <c r="I910" s="24"/>
    </row>
    <row r="911" spans="7:9" x14ac:dyDescent="0.3">
      <c r="G911" s="24"/>
      <c r="I911" s="24"/>
    </row>
    <row r="912" spans="7:9" x14ac:dyDescent="0.3">
      <c r="G912" s="24"/>
      <c r="I912" s="24"/>
    </row>
    <row r="913" spans="7:9" x14ac:dyDescent="0.3">
      <c r="G913" s="24"/>
      <c r="I913" s="24"/>
    </row>
    <row r="914" spans="7:9" x14ac:dyDescent="0.3">
      <c r="G914" s="24"/>
      <c r="I914" s="24"/>
    </row>
    <row r="915" spans="7:9" x14ac:dyDescent="0.3">
      <c r="G915" s="24"/>
      <c r="I915" s="24"/>
    </row>
    <row r="916" spans="7:9" x14ac:dyDescent="0.3">
      <c r="G916" s="24"/>
      <c r="I916" s="24"/>
    </row>
    <row r="917" spans="7:9" x14ac:dyDescent="0.3">
      <c r="G917" s="24"/>
      <c r="I917" s="24"/>
    </row>
    <row r="918" spans="7:9" x14ac:dyDescent="0.3">
      <c r="G918" s="24"/>
      <c r="I918" s="24"/>
    </row>
    <row r="919" spans="7:9" x14ac:dyDescent="0.3">
      <c r="G919" s="24"/>
      <c r="I919" s="24"/>
    </row>
    <row r="920" spans="7:9" x14ac:dyDescent="0.3">
      <c r="G920" s="24"/>
      <c r="I920" s="24"/>
    </row>
    <row r="921" spans="7:9" x14ac:dyDescent="0.3">
      <c r="G921" s="24"/>
      <c r="I921" s="24"/>
    </row>
    <row r="922" spans="7:9" x14ac:dyDescent="0.3">
      <c r="G922" s="24"/>
      <c r="I922" s="24"/>
    </row>
    <row r="923" spans="7:9" x14ac:dyDescent="0.3">
      <c r="G923" s="24"/>
      <c r="I923" s="24"/>
    </row>
    <row r="924" spans="7:9" x14ac:dyDescent="0.3">
      <c r="G924" s="24"/>
      <c r="I924" s="24"/>
    </row>
    <row r="925" spans="7:9" x14ac:dyDescent="0.3">
      <c r="G925" s="24"/>
      <c r="I925" s="24"/>
    </row>
    <row r="926" spans="7:9" x14ac:dyDescent="0.3">
      <c r="G926" s="24"/>
      <c r="I926" s="24"/>
    </row>
    <row r="927" spans="7:9" x14ac:dyDescent="0.3">
      <c r="G927" s="24"/>
      <c r="I927" s="24"/>
    </row>
    <row r="928" spans="7:9" x14ac:dyDescent="0.3">
      <c r="G928" s="24"/>
      <c r="I928" s="24"/>
    </row>
    <row r="929" spans="7:9" x14ac:dyDescent="0.3">
      <c r="G929" s="24"/>
      <c r="I929" s="24"/>
    </row>
    <row r="930" spans="7:9" x14ac:dyDescent="0.3">
      <c r="G930" s="24"/>
      <c r="I930" s="24"/>
    </row>
    <row r="931" spans="7:9" x14ac:dyDescent="0.3">
      <c r="G931" s="24"/>
      <c r="I931" s="24"/>
    </row>
    <row r="932" spans="7:9" x14ac:dyDescent="0.3">
      <c r="G932" s="24"/>
      <c r="I932" s="24"/>
    </row>
    <row r="933" spans="7:9" x14ac:dyDescent="0.3">
      <c r="G933" s="24"/>
      <c r="I933" s="24"/>
    </row>
    <row r="934" spans="7:9" x14ac:dyDescent="0.3">
      <c r="G934" s="24"/>
      <c r="I934" s="24"/>
    </row>
    <row r="935" spans="7:9" x14ac:dyDescent="0.3">
      <c r="G935" s="24"/>
      <c r="I935" s="24"/>
    </row>
    <row r="936" spans="7:9" x14ac:dyDescent="0.3">
      <c r="G936" s="24"/>
      <c r="I936" s="24"/>
    </row>
    <row r="937" spans="7:9" x14ac:dyDescent="0.3">
      <c r="G937" s="24"/>
      <c r="I937" s="24"/>
    </row>
    <row r="938" spans="7:9" x14ac:dyDescent="0.3">
      <c r="G938" s="24"/>
      <c r="I938" s="24"/>
    </row>
    <row r="939" spans="7:9" x14ac:dyDescent="0.3">
      <c r="G939" s="24"/>
      <c r="I939" s="24"/>
    </row>
    <row r="940" spans="7:9" x14ac:dyDescent="0.3">
      <c r="G940" s="24"/>
      <c r="I940" s="24"/>
    </row>
    <row r="941" spans="7:9" x14ac:dyDescent="0.3">
      <c r="G941" s="24"/>
      <c r="I941" s="24"/>
    </row>
    <row r="942" spans="7:9" x14ac:dyDescent="0.3">
      <c r="G942" s="24"/>
      <c r="I942" s="24"/>
    </row>
    <row r="943" spans="7:9" x14ac:dyDescent="0.3">
      <c r="G943" s="24"/>
      <c r="I943" s="24"/>
    </row>
    <row r="944" spans="7:9" x14ac:dyDescent="0.3">
      <c r="G944" s="24"/>
      <c r="I944" s="24"/>
    </row>
    <row r="945" spans="7:9" x14ac:dyDescent="0.3">
      <c r="G945" s="24"/>
      <c r="I945" s="24"/>
    </row>
    <row r="946" spans="7:9" x14ac:dyDescent="0.3">
      <c r="G946" s="24"/>
      <c r="I946" s="24"/>
    </row>
    <row r="947" spans="7:9" x14ac:dyDescent="0.3">
      <c r="G947" s="24"/>
      <c r="I947" s="24"/>
    </row>
    <row r="948" spans="7:9" x14ac:dyDescent="0.3">
      <c r="G948" s="24"/>
      <c r="I948" s="24"/>
    </row>
    <row r="949" spans="7:9" x14ac:dyDescent="0.3">
      <c r="G949" s="24"/>
      <c r="I949" s="24"/>
    </row>
    <row r="950" spans="7:9" x14ac:dyDescent="0.3">
      <c r="G950" s="24"/>
      <c r="I950" s="24"/>
    </row>
    <row r="951" spans="7:9" x14ac:dyDescent="0.3">
      <c r="G951" s="24"/>
      <c r="I951" s="24"/>
    </row>
    <row r="952" spans="7:9" x14ac:dyDescent="0.3">
      <c r="G952" s="24"/>
      <c r="I952" s="24"/>
    </row>
    <row r="953" spans="7:9" x14ac:dyDescent="0.3">
      <c r="G953" s="24"/>
      <c r="I953" s="24"/>
    </row>
    <row r="954" spans="7:9" x14ac:dyDescent="0.3">
      <c r="G954" s="24"/>
      <c r="I954" s="24"/>
    </row>
    <row r="955" spans="7:9" x14ac:dyDescent="0.3">
      <c r="G955" s="24"/>
      <c r="I955" s="24"/>
    </row>
    <row r="956" spans="7:9" x14ac:dyDescent="0.3">
      <c r="G956" s="24"/>
      <c r="I956" s="24"/>
    </row>
    <row r="957" spans="7:9" x14ac:dyDescent="0.3">
      <c r="G957" s="24"/>
      <c r="I957" s="24"/>
    </row>
    <row r="958" spans="7:9" x14ac:dyDescent="0.3">
      <c r="G958" s="24"/>
      <c r="I958" s="24"/>
    </row>
    <row r="959" spans="7:9" x14ac:dyDescent="0.3">
      <c r="G959" s="24"/>
      <c r="I959" s="24"/>
    </row>
    <row r="960" spans="7:9" x14ac:dyDescent="0.3">
      <c r="G960" s="24"/>
      <c r="I960" s="24"/>
    </row>
    <row r="961" spans="7:9" x14ac:dyDescent="0.3">
      <c r="G961" s="24"/>
      <c r="I961" s="24"/>
    </row>
    <row r="962" spans="7:9" x14ac:dyDescent="0.3">
      <c r="G962" s="24"/>
      <c r="I962" s="24"/>
    </row>
    <row r="963" spans="7:9" x14ac:dyDescent="0.3">
      <c r="G963" s="24"/>
      <c r="I963" s="24"/>
    </row>
    <row r="964" spans="7:9" x14ac:dyDescent="0.3">
      <c r="G964" s="24"/>
      <c r="I964" s="24"/>
    </row>
    <row r="965" spans="7:9" x14ac:dyDescent="0.3">
      <c r="G965" s="24"/>
      <c r="I965" s="24"/>
    </row>
    <row r="966" spans="7:9" x14ac:dyDescent="0.3">
      <c r="G966" s="24"/>
      <c r="I966" s="24"/>
    </row>
    <row r="967" spans="7:9" x14ac:dyDescent="0.3">
      <c r="G967" s="24"/>
      <c r="I967" s="24"/>
    </row>
    <row r="968" spans="7:9" x14ac:dyDescent="0.3">
      <c r="G968" s="24"/>
      <c r="I968" s="24"/>
    </row>
    <row r="969" spans="7:9" x14ac:dyDescent="0.3">
      <c r="G969" s="24"/>
      <c r="I969" s="24"/>
    </row>
    <row r="970" spans="7:9" x14ac:dyDescent="0.3">
      <c r="G970" s="24"/>
      <c r="I970" s="24"/>
    </row>
    <row r="971" spans="7:9" x14ac:dyDescent="0.3">
      <c r="G971" s="24"/>
      <c r="I971" s="24"/>
    </row>
    <row r="972" spans="7:9" x14ac:dyDescent="0.3">
      <c r="G972" s="24"/>
      <c r="I972" s="24"/>
    </row>
    <row r="973" spans="7:9" x14ac:dyDescent="0.3">
      <c r="G973" s="24"/>
      <c r="I973" s="24"/>
    </row>
    <row r="974" spans="7:9" x14ac:dyDescent="0.3">
      <c r="G974" s="24"/>
      <c r="I974" s="24"/>
    </row>
    <row r="975" spans="7:9" x14ac:dyDescent="0.3">
      <c r="G975" s="24"/>
      <c r="I975" s="24"/>
    </row>
    <row r="976" spans="7:9" x14ac:dyDescent="0.3">
      <c r="G976" s="24"/>
      <c r="I976" s="24"/>
    </row>
    <row r="977" spans="7:9" x14ac:dyDescent="0.3">
      <c r="G977" s="24"/>
      <c r="I977" s="24"/>
    </row>
    <row r="978" spans="7:9" x14ac:dyDescent="0.3">
      <c r="G978" s="24"/>
      <c r="I978" s="24"/>
    </row>
    <row r="979" spans="7:9" x14ac:dyDescent="0.3">
      <c r="G979" s="24"/>
      <c r="I979" s="24"/>
    </row>
    <row r="980" spans="7:9" x14ac:dyDescent="0.3">
      <c r="G980" s="24"/>
      <c r="I980" s="24"/>
    </row>
    <row r="981" spans="7:9" x14ac:dyDescent="0.3">
      <c r="G981" s="24"/>
      <c r="I981" s="24"/>
    </row>
    <row r="982" spans="7:9" x14ac:dyDescent="0.3">
      <c r="G982" s="24"/>
      <c r="I982" s="24"/>
    </row>
    <row r="983" spans="7:9" x14ac:dyDescent="0.3">
      <c r="G983" s="24"/>
      <c r="I983" s="24"/>
    </row>
    <row r="984" spans="7:9" x14ac:dyDescent="0.3">
      <c r="G984" s="24"/>
      <c r="I984" s="24"/>
    </row>
    <row r="985" spans="7:9" x14ac:dyDescent="0.3">
      <c r="G985" s="24"/>
      <c r="I985" s="24"/>
    </row>
    <row r="986" spans="7:9" x14ac:dyDescent="0.3">
      <c r="G986" s="24"/>
      <c r="I986" s="24"/>
    </row>
    <row r="987" spans="7:9" x14ac:dyDescent="0.3">
      <c r="G987" s="24"/>
      <c r="I987" s="24"/>
    </row>
    <row r="988" spans="7:9" x14ac:dyDescent="0.3">
      <c r="G988" s="24"/>
      <c r="I988" s="24"/>
    </row>
    <row r="989" spans="7:9" x14ac:dyDescent="0.3">
      <c r="G989" s="24"/>
      <c r="I989" s="24"/>
    </row>
    <row r="990" spans="7:9" x14ac:dyDescent="0.3">
      <c r="G990" s="24"/>
      <c r="I990" s="24"/>
    </row>
    <row r="991" spans="7:9" x14ac:dyDescent="0.3">
      <c r="G991" s="24"/>
      <c r="I991" s="24"/>
    </row>
    <row r="992" spans="7:9" x14ac:dyDescent="0.3">
      <c r="G992" s="24"/>
      <c r="I992" s="24"/>
    </row>
    <row r="993" spans="7:9" x14ac:dyDescent="0.3">
      <c r="G993" s="24"/>
      <c r="I993" s="24"/>
    </row>
    <row r="994" spans="7:9" x14ac:dyDescent="0.3">
      <c r="G994" s="24"/>
      <c r="I994" s="24"/>
    </row>
    <row r="995" spans="7:9" x14ac:dyDescent="0.3">
      <c r="G995" s="24"/>
      <c r="I995" s="24"/>
    </row>
    <row r="996" spans="7:9" x14ac:dyDescent="0.3">
      <c r="G996" s="24"/>
      <c r="I996" s="24"/>
    </row>
    <row r="997" spans="7:9" x14ac:dyDescent="0.3">
      <c r="G997" s="24"/>
      <c r="I997" s="24"/>
    </row>
    <row r="998" spans="7:9" x14ac:dyDescent="0.3">
      <c r="G998" s="24"/>
      <c r="I998" s="24"/>
    </row>
    <row r="999" spans="7:9" x14ac:dyDescent="0.3">
      <c r="G999" s="24"/>
      <c r="I999" s="24"/>
    </row>
    <row r="1000" spans="7:9" x14ac:dyDescent="0.3">
      <c r="G1000" s="24"/>
      <c r="I1000" s="24"/>
    </row>
    <row r="1001" spans="7:9" x14ac:dyDescent="0.3">
      <c r="G1001" s="24"/>
      <c r="I1001" s="24"/>
    </row>
    <row r="1002" spans="7:9" x14ac:dyDescent="0.3">
      <c r="G1002" s="24"/>
      <c r="I1002" s="24"/>
    </row>
    <row r="1003" spans="7:9" x14ac:dyDescent="0.3">
      <c r="G1003" s="24"/>
      <c r="I1003" s="24"/>
    </row>
    <row r="1004" spans="7:9" x14ac:dyDescent="0.3">
      <c r="G1004" s="24"/>
      <c r="I1004" s="24"/>
    </row>
    <row r="1005" spans="7:9" x14ac:dyDescent="0.3">
      <c r="G1005" s="24"/>
      <c r="I1005" s="24"/>
    </row>
    <row r="1006" spans="7:9" x14ac:dyDescent="0.3">
      <c r="G1006" s="24"/>
      <c r="I1006" s="24"/>
    </row>
    <row r="1007" spans="7:9" x14ac:dyDescent="0.3">
      <c r="G1007" s="24"/>
      <c r="I1007" s="24"/>
    </row>
    <row r="1008" spans="7:9" x14ac:dyDescent="0.3">
      <c r="G1008" s="24"/>
      <c r="I1008" s="24"/>
    </row>
    <row r="1009" spans="7:9" x14ac:dyDescent="0.3">
      <c r="G1009" s="24"/>
      <c r="I1009" s="24"/>
    </row>
    <row r="1010" spans="7:9" x14ac:dyDescent="0.3">
      <c r="G1010" s="24"/>
      <c r="I1010" s="24"/>
    </row>
    <row r="1011" spans="7:9" x14ac:dyDescent="0.3">
      <c r="G1011" s="24"/>
      <c r="I1011" s="24"/>
    </row>
    <row r="1012" spans="7:9" x14ac:dyDescent="0.3">
      <c r="G1012" s="24"/>
      <c r="I1012" s="24"/>
    </row>
    <row r="1013" spans="7:9" x14ac:dyDescent="0.3">
      <c r="G1013" s="24"/>
      <c r="I1013" s="24"/>
    </row>
    <row r="1014" spans="7:9" x14ac:dyDescent="0.3">
      <c r="G1014" s="24"/>
      <c r="I1014" s="24"/>
    </row>
    <row r="1015" spans="7:9" x14ac:dyDescent="0.3">
      <c r="G1015" s="24"/>
      <c r="I1015" s="24"/>
    </row>
    <row r="1016" spans="7:9" x14ac:dyDescent="0.3">
      <c r="G1016" s="24"/>
      <c r="I1016" s="24"/>
    </row>
    <row r="1017" spans="7:9" x14ac:dyDescent="0.3">
      <c r="G1017" s="24"/>
      <c r="I1017" s="24"/>
    </row>
    <row r="1018" spans="7:9" x14ac:dyDescent="0.3">
      <c r="G1018" s="24"/>
      <c r="I1018" s="24"/>
    </row>
    <row r="1019" spans="7:9" x14ac:dyDescent="0.3">
      <c r="G1019" s="24"/>
      <c r="I1019" s="24"/>
    </row>
    <row r="1020" spans="7:9" x14ac:dyDescent="0.3">
      <c r="G1020" s="24"/>
      <c r="I1020" s="24"/>
    </row>
    <row r="1021" spans="7:9" x14ac:dyDescent="0.3">
      <c r="G1021" s="24"/>
      <c r="I1021" s="24"/>
    </row>
    <row r="1022" spans="7:9" x14ac:dyDescent="0.3">
      <c r="G1022" s="24"/>
      <c r="I1022" s="24"/>
    </row>
    <row r="1023" spans="7:9" x14ac:dyDescent="0.3">
      <c r="G1023" s="24"/>
      <c r="I1023" s="24"/>
    </row>
    <row r="1024" spans="7:9" x14ac:dyDescent="0.3">
      <c r="G1024" s="24"/>
      <c r="I1024" s="24"/>
    </row>
    <row r="1025" spans="7:9" x14ac:dyDescent="0.3">
      <c r="G1025" s="24"/>
      <c r="I1025" s="24"/>
    </row>
    <row r="1026" spans="7:9" x14ac:dyDescent="0.3">
      <c r="G1026" s="24"/>
      <c r="I1026" s="24"/>
    </row>
    <row r="1027" spans="7:9" x14ac:dyDescent="0.3">
      <c r="G1027" s="24"/>
      <c r="I1027" s="24"/>
    </row>
    <row r="1028" spans="7:9" x14ac:dyDescent="0.3">
      <c r="G1028" s="24"/>
      <c r="I1028" s="24"/>
    </row>
    <row r="1029" spans="7:9" x14ac:dyDescent="0.3">
      <c r="G1029" s="24"/>
      <c r="I1029" s="24"/>
    </row>
    <row r="1030" spans="7:9" x14ac:dyDescent="0.3">
      <c r="G1030" s="24"/>
      <c r="I1030" s="24"/>
    </row>
    <row r="1031" spans="7:9" x14ac:dyDescent="0.3">
      <c r="G1031" s="24"/>
      <c r="I1031" s="24"/>
    </row>
    <row r="1032" spans="7:9" x14ac:dyDescent="0.3">
      <c r="G1032" s="24"/>
      <c r="I1032" s="24"/>
    </row>
    <row r="1033" spans="7:9" x14ac:dyDescent="0.3">
      <c r="G1033" s="24"/>
      <c r="I1033" s="24"/>
    </row>
    <row r="1034" spans="7:9" x14ac:dyDescent="0.3">
      <c r="G1034" s="24"/>
      <c r="I1034" s="24"/>
    </row>
    <row r="1035" spans="7:9" x14ac:dyDescent="0.3">
      <c r="G1035" s="24"/>
      <c r="I1035" s="24"/>
    </row>
    <row r="1036" spans="7:9" x14ac:dyDescent="0.3">
      <c r="G1036" s="24"/>
      <c r="I1036" s="24"/>
    </row>
    <row r="1037" spans="7:9" x14ac:dyDescent="0.3">
      <c r="G1037" s="24"/>
      <c r="I1037" s="24"/>
    </row>
    <row r="1038" spans="7:9" x14ac:dyDescent="0.3">
      <c r="G1038" s="24"/>
      <c r="I1038" s="24"/>
    </row>
    <row r="1039" spans="7:9" x14ac:dyDescent="0.3">
      <c r="G1039" s="24"/>
      <c r="I1039" s="24"/>
    </row>
    <row r="1040" spans="7:9" x14ac:dyDescent="0.3">
      <c r="G1040" s="24"/>
      <c r="I1040" s="24"/>
    </row>
    <row r="1041" spans="7:9" x14ac:dyDescent="0.3">
      <c r="G1041" s="24"/>
      <c r="I1041" s="24"/>
    </row>
    <row r="1042" spans="7:9" x14ac:dyDescent="0.3">
      <c r="G1042" s="24"/>
      <c r="I1042" s="24"/>
    </row>
    <row r="1043" spans="7:9" x14ac:dyDescent="0.3">
      <c r="G1043" s="24"/>
      <c r="I1043" s="24"/>
    </row>
    <row r="1044" spans="7:9" x14ac:dyDescent="0.3">
      <c r="G1044" s="24"/>
      <c r="I1044" s="24"/>
    </row>
    <row r="1045" spans="7:9" x14ac:dyDescent="0.3">
      <c r="G1045" s="24"/>
      <c r="I1045" s="24"/>
    </row>
    <row r="1046" spans="7:9" x14ac:dyDescent="0.3">
      <c r="G1046" s="24"/>
      <c r="I1046" s="24"/>
    </row>
    <row r="1047" spans="7:9" x14ac:dyDescent="0.3">
      <c r="G1047" s="24"/>
      <c r="I1047" s="24"/>
    </row>
    <row r="1048" spans="7:9" x14ac:dyDescent="0.3">
      <c r="G1048" s="24"/>
      <c r="I1048" s="24"/>
    </row>
    <row r="1049" spans="7:9" x14ac:dyDescent="0.3">
      <c r="G1049" s="24"/>
      <c r="I1049" s="24"/>
    </row>
    <row r="1050" spans="7:9" x14ac:dyDescent="0.3">
      <c r="G1050" s="24"/>
      <c r="I1050" s="24"/>
    </row>
    <row r="1051" spans="7:9" x14ac:dyDescent="0.3">
      <c r="G1051" s="24"/>
      <c r="I1051" s="24"/>
    </row>
    <row r="1052" spans="7:9" x14ac:dyDescent="0.3">
      <c r="G1052" s="24"/>
      <c r="I1052" s="24"/>
    </row>
    <row r="1053" spans="7:9" x14ac:dyDescent="0.3">
      <c r="G1053" s="24"/>
      <c r="I1053" s="24"/>
    </row>
    <row r="1054" spans="7:9" x14ac:dyDescent="0.3">
      <c r="G1054" s="24"/>
      <c r="I1054" s="24"/>
    </row>
    <row r="1055" spans="7:9" x14ac:dyDescent="0.3">
      <c r="G1055" s="24"/>
      <c r="I1055" s="24"/>
    </row>
    <row r="1056" spans="7:9" x14ac:dyDescent="0.3">
      <c r="G1056" s="24"/>
      <c r="I1056" s="24"/>
    </row>
    <row r="1057" spans="7:9" x14ac:dyDescent="0.3">
      <c r="G1057" s="24"/>
      <c r="I1057" s="24"/>
    </row>
    <row r="1058" spans="7:9" x14ac:dyDescent="0.3">
      <c r="G1058" s="24"/>
      <c r="I1058" s="24"/>
    </row>
    <row r="1059" spans="7:9" x14ac:dyDescent="0.3">
      <c r="G1059" s="24"/>
      <c r="I1059" s="24"/>
    </row>
    <row r="1060" spans="7:9" x14ac:dyDescent="0.3">
      <c r="G1060" s="24"/>
      <c r="I1060" s="24"/>
    </row>
    <row r="1061" spans="7:9" x14ac:dyDescent="0.3">
      <c r="G1061" s="24"/>
      <c r="I1061" s="24"/>
    </row>
    <row r="1062" spans="7:9" x14ac:dyDescent="0.3">
      <c r="G1062" s="24"/>
      <c r="I1062" s="24"/>
    </row>
    <row r="1063" spans="7:9" x14ac:dyDescent="0.3">
      <c r="G1063" s="24"/>
      <c r="I1063" s="24"/>
    </row>
    <row r="1064" spans="7:9" x14ac:dyDescent="0.3">
      <c r="G1064" s="24"/>
      <c r="I1064" s="24"/>
    </row>
    <row r="1065" spans="7:9" x14ac:dyDescent="0.3">
      <c r="G1065" s="24"/>
      <c r="I1065" s="24"/>
    </row>
    <row r="1066" spans="7:9" x14ac:dyDescent="0.3">
      <c r="G1066" s="24"/>
      <c r="I1066" s="24"/>
    </row>
    <row r="1067" spans="7:9" x14ac:dyDescent="0.3">
      <c r="G1067" s="24"/>
      <c r="I1067" s="24"/>
    </row>
    <row r="1068" spans="7:9" x14ac:dyDescent="0.3">
      <c r="G1068" s="24"/>
      <c r="I1068" s="24"/>
    </row>
    <row r="1069" spans="7:9" x14ac:dyDescent="0.3">
      <c r="G1069" s="24"/>
      <c r="I1069" s="24"/>
    </row>
    <row r="1070" spans="7:9" x14ac:dyDescent="0.3">
      <c r="G1070" s="24"/>
      <c r="I1070" s="24"/>
    </row>
    <row r="1071" spans="7:9" x14ac:dyDescent="0.3">
      <c r="G1071" s="24"/>
      <c r="I1071" s="24"/>
    </row>
    <row r="1072" spans="7:9" x14ac:dyDescent="0.3">
      <c r="G1072" s="24"/>
      <c r="I1072" s="24"/>
    </row>
    <row r="1073" spans="7:9" x14ac:dyDescent="0.3">
      <c r="G1073" s="24"/>
      <c r="I1073" s="24"/>
    </row>
    <row r="1074" spans="7:9" x14ac:dyDescent="0.3">
      <c r="G1074" s="24"/>
      <c r="I1074" s="24"/>
    </row>
    <row r="1075" spans="7:9" x14ac:dyDescent="0.3">
      <c r="G1075" s="24"/>
      <c r="I1075" s="24"/>
    </row>
    <row r="1076" spans="7:9" x14ac:dyDescent="0.3">
      <c r="G1076" s="24"/>
      <c r="I1076" s="24"/>
    </row>
    <row r="1077" spans="7:9" x14ac:dyDescent="0.3">
      <c r="G1077" s="24"/>
      <c r="I1077" s="24"/>
    </row>
    <row r="1078" spans="7:9" x14ac:dyDescent="0.3">
      <c r="G1078" s="24"/>
      <c r="I1078" s="24"/>
    </row>
    <row r="1079" spans="7:9" x14ac:dyDescent="0.3">
      <c r="G1079" s="24"/>
      <c r="I1079" s="24"/>
    </row>
    <row r="1080" spans="7:9" x14ac:dyDescent="0.3">
      <c r="G1080" s="24"/>
      <c r="I1080" s="24"/>
    </row>
    <row r="1081" spans="7:9" x14ac:dyDescent="0.3">
      <c r="G1081" s="24"/>
      <c r="I1081" s="24"/>
    </row>
    <row r="1082" spans="7:9" x14ac:dyDescent="0.3">
      <c r="G1082" s="24"/>
      <c r="I1082" s="24"/>
    </row>
    <row r="1083" spans="7:9" x14ac:dyDescent="0.3">
      <c r="G1083" s="24"/>
      <c r="I1083" s="24"/>
    </row>
    <row r="1084" spans="7:9" x14ac:dyDescent="0.3">
      <c r="G1084" s="24"/>
      <c r="I1084" s="24"/>
    </row>
    <row r="1085" spans="7:9" x14ac:dyDescent="0.3">
      <c r="G1085" s="24"/>
      <c r="I1085" s="24"/>
    </row>
    <row r="1086" spans="7:9" x14ac:dyDescent="0.3">
      <c r="G1086" s="24"/>
      <c r="I1086" s="24"/>
    </row>
    <row r="1087" spans="7:9" x14ac:dyDescent="0.3">
      <c r="G1087" s="24"/>
      <c r="I1087" s="24"/>
    </row>
    <row r="1088" spans="7:9" x14ac:dyDescent="0.3">
      <c r="G1088" s="24"/>
      <c r="I1088" s="24"/>
    </row>
    <row r="1089" spans="7:9" x14ac:dyDescent="0.3">
      <c r="G1089" s="24"/>
      <c r="I1089" s="24"/>
    </row>
    <row r="1090" spans="7:9" x14ac:dyDescent="0.3">
      <c r="G1090" s="24"/>
      <c r="I1090" s="24"/>
    </row>
    <row r="1091" spans="7:9" x14ac:dyDescent="0.3">
      <c r="G1091" s="24"/>
      <c r="I1091" s="24"/>
    </row>
    <row r="1092" spans="7:9" x14ac:dyDescent="0.3">
      <c r="G1092" s="24"/>
      <c r="I1092" s="24"/>
    </row>
    <row r="1093" spans="7:9" x14ac:dyDescent="0.3">
      <c r="G1093" s="24"/>
      <c r="I1093" s="24"/>
    </row>
    <row r="1094" spans="7:9" x14ac:dyDescent="0.3">
      <c r="G1094" s="24"/>
      <c r="I1094" s="24"/>
    </row>
    <row r="1095" spans="7:9" x14ac:dyDescent="0.3">
      <c r="G1095" s="24"/>
      <c r="I1095" s="24"/>
    </row>
    <row r="1096" spans="7:9" x14ac:dyDescent="0.3">
      <c r="G1096" s="24"/>
      <c r="I1096" s="24"/>
    </row>
    <row r="1097" spans="7:9" x14ac:dyDescent="0.3">
      <c r="G1097" s="24"/>
      <c r="I1097" s="24"/>
    </row>
    <row r="1098" spans="7:9" x14ac:dyDescent="0.3">
      <c r="G1098" s="24"/>
      <c r="I1098" s="24"/>
    </row>
    <row r="1099" spans="7:9" x14ac:dyDescent="0.3">
      <c r="G1099" s="24"/>
      <c r="I1099" s="24"/>
    </row>
    <row r="1100" spans="7:9" x14ac:dyDescent="0.3">
      <c r="G1100" s="24"/>
      <c r="I1100" s="24"/>
    </row>
    <row r="1101" spans="7:9" x14ac:dyDescent="0.3">
      <c r="G1101" s="24"/>
      <c r="I1101" s="24"/>
    </row>
    <row r="1102" spans="7:9" x14ac:dyDescent="0.3">
      <c r="G1102" s="24"/>
      <c r="I1102" s="24"/>
    </row>
    <row r="1103" spans="7:9" x14ac:dyDescent="0.3">
      <c r="G1103" s="24"/>
      <c r="I1103" s="24"/>
    </row>
    <row r="1104" spans="7:9" x14ac:dyDescent="0.3">
      <c r="G1104" s="24"/>
      <c r="I1104" s="24"/>
    </row>
    <row r="1105" spans="7:9" x14ac:dyDescent="0.3">
      <c r="G1105" s="24"/>
      <c r="I1105" s="24"/>
    </row>
    <row r="1106" spans="7:9" x14ac:dyDescent="0.3">
      <c r="G1106" s="24"/>
      <c r="I1106" s="24"/>
    </row>
    <row r="1107" spans="7:9" x14ac:dyDescent="0.3">
      <c r="G1107" s="24"/>
      <c r="I1107" s="24"/>
    </row>
    <row r="1108" spans="7:9" x14ac:dyDescent="0.3">
      <c r="G1108" s="24"/>
      <c r="I1108" s="24"/>
    </row>
    <row r="1109" spans="7:9" x14ac:dyDescent="0.3">
      <c r="G1109" s="24"/>
      <c r="I1109" s="24"/>
    </row>
    <row r="1110" spans="7:9" x14ac:dyDescent="0.3">
      <c r="G1110" s="24"/>
      <c r="I1110" s="24"/>
    </row>
    <row r="1111" spans="7:9" x14ac:dyDescent="0.3">
      <c r="G1111" s="24"/>
      <c r="I1111" s="24"/>
    </row>
    <row r="1112" spans="7:9" x14ac:dyDescent="0.3">
      <c r="G1112" s="24"/>
      <c r="I1112" s="24"/>
    </row>
    <row r="1113" spans="7:9" x14ac:dyDescent="0.3">
      <c r="G1113" s="24"/>
      <c r="I1113" s="24"/>
    </row>
    <row r="1114" spans="7:9" x14ac:dyDescent="0.3">
      <c r="G1114" s="24"/>
      <c r="I1114" s="24"/>
    </row>
    <row r="1115" spans="7:9" x14ac:dyDescent="0.3">
      <c r="G1115" s="24"/>
      <c r="I1115" s="24"/>
    </row>
    <row r="1116" spans="7:9" x14ac:dyDescent="0.3">
      <c r="G1116" s="24"/>
      <c r="I1116" s="24"/>
    </row>
    <row r="1117" spans="7:9" x14ac:dyDescent="0.3">
      <c r="G1117" s="24"/>
      <c r="I1117" s="24"/>
    </row>
    <row r="1118" spans="7:9" x14ac:dyDescent="0.3">
      <c r="G1118" s="24"/>
      <c r="I1118" s="24"/>
    </row>
    <row r="1119" spans="7:9" x14ac:dyDescent="0.3">
      <c r="G1119" s="24"/>
      <c r="I1119" s="24"/>
    </row>
    <row r="1120" spans="7:9" x14ac:dyDescent="0.3">
      <c r="G1120" s="24"/>
      <c r="I1120" s="24"/>
    </row>
    <row r="1121" spans="7:9" x14ac:dyDescent="0.3">
      <c r="G1121" s="24"/>
      <c r="I1121" s="24"/>
    </row>
    <row r="1122" spans="7:9" x14ac:dyDescent="0.3">
      <c r="G1122" s="24"/>
      <c r="I1122" s="24"/>
    </row>
    <row r="1123" spans="7:9" x14ac:dyDescent="0.3">
      <c r="G1123" s="24"/>
      <c r="I1123" s="24"/>
    </row>
    <row r="1124" spans="7:9" x14ac:dyDescent="0.3">
      <c r="G1124" s="24"/>
      <c r="I1124" s="24"/>
    </row>
    <row r="1125" spans="7:9" x14ac:dyDescent="0.3">
      <c r="G1125" s="24"/>
      <c r="I1125" s="24"/>
    </row>
    <row r="1126" spans="7:9" x14ac:dyDescent="0.3">
      <c r="G1126" s="24"/>
      <c r="I1126" s="24"/>
    </row>
    <row r="1127" spans="7:9" x14ac:dyDescent="0.3">
      <c r="G1127" s="24"/>
      <c r="I1127" s="24"/>
    </row>
    <row r="1128" spans="7:9" x14ac:dyDescent="0.3">
      <c r="G1128" s="24"/>
      <c r="I1128" s="24"/>
    </row>
    <row r="1129" spans="7:9" x14ac:dyDescent="0.3">
      <c r="G1129" s="24"/>
      <c r="I1129" s="24"/>
    </row>
    <row r="1130" spans="7:9" x14ac:dyDescent="0.3">
      <c r="G1130" s="24"/>
      <c r="I1130" s="24"/>
    </row>
    <row r="1131" spans="7:9" x14ac:dyDescent="0.3">
      <c r="G1131" s="24"/>
      <c r="I1131" s="24"/>
    </row>
    <row r="1132" spans="7:9" x14ac:dyDescent="0.3">
      <c r="G1132" s="24"/>
      <c r="I1132" s="24"/>
    </row>
    <row r="1133" spans="7:9" x14ac:dyDescent="0.3">
      <c r="G1133" s="24"/>
      <c r="I1133" s="24"/>
    </row>
    <row r="1134" spans="7:9" x14ac:dyDescent="0.3">
      <c r="G1134" s="24"/>
      <c r="I1134" s="24"/>
    </row>
    <row r="1135" spans="7:9" x14ac:dyDescent="0.3">
      <c r="G1135" s="24"/>
      <c r="I1135" s="24"/>
    </row>
    <row r="1136" spans="7:9" x14ac:dyDescent="0.3">
      <c r="G1136" s="24"/>
      <c r="I1136" s="24"/>
    </row>
    <row r="1137" spans="7:9" x14ac:dyDescent="0.3">
      <c r="G1137" s="24"/>
      <c r="I1137" s="24"/>
    </row>
    <row r="1138" spans="7:9" x14ac:dyDescent="0.3">
      <c r="G1138" s="24"/>
      <c r="I1138" s="24"/>
    </row>
    <row r="1139" spans="7:9" x14ac:dyDescent="0.3">
      <c r="G1139" s="24"/>
      <c r="I1139" s="24"/>
    </row>
    <row r="1140" spans="7:9" x14ac:dyDescent="0.3">
      <c r="G1140" s="24"/>
      <c r="I1140" s="24"/>
    </row>
    <row r="1141" spans="7:9" x14ac:dyDescent="0.3">
      <c r="G1141" s="24"/>
      <c r="I1141" s="24"/>
    </row>
    <row r="1142" spans="7:9" x14ac:dyDescent="0.3">
      <c r="G1142" s="24"/>
      <c r="I1142" s="24"/>
    </row>
    <row r="1143" spans="7:9" x14ac:dyDescent="0.3">
      <c r="G1143" s="24"/>
      <c r="I1143" s="24"/>
    </row>
    <row r="1144" spans="7:9" x14ac:dyDescent="0.3">
      <c r="G1144" s="24"/>
      <c r="I1144" s="24"/>
    </row>
    <row r="1145" spans="7:9" x14ac:dyDescent="0.3">
      <c r="G1145" s="24"/>
      <c r="I1145" s="24"/>
    </row>
    <row r="1146" spans="7:9" x14ac:dyDescent="0.3">
      <c r="G1146" s="24"/>
      <c r="I1146" s="24"/>
    </row>
    <row r="1147" spans="7:9" x14ac:dyDescent="0.3">
      <c r="G1147" s="24"/>
      <c r="I1147" s="24"/>
    </row>
    <row r="1148" spans="7:9" x14ac:dyDescent="0.3">
      <c r="G1148" s="24"/>
      <c r="I1148" s="24"/>
    </row>
    <row r="1149" spans="7:9" x14ac:dyDescent="0.3">
      <c r="G1149" s="24"/>
      <c r="I1149" s="24"/>
    </row>
    <row r="1150" spans="7:9" x14ac:dyDescent="0.3">
      <c r="G1150" s="24"/>
      <c r="I1150" s="24"/>
    </row>
    <row r="1151" spans="7:9" x14ac:dyDescent="0.3">
      <c r="G1151" s="24"/>
      <c r="I1151" s="24"/>
    </row>
    <row r="1152" spans="7:9" x14ac:dyDescent="0.3">
      <c r="G1152" s="24"/>
      <c r="I1152" s="24"/>
    </row>
    <row r="1153" spans="7:9" x14ac:dyDescent="0.3">
      <c r="G1153" s="24"/>
      <c r="I1153" s="24"/>
    </row>
    <row r="1154" spans="7:9" x14ac:dyDescent="0.3">
      <c r="G1154" s="24"/>
      <c r="I1154" s="24"/>
    </row>
    <row r="1155" spans="7:9" x14ac:dyDescent="0.3">
      <c r="G1155" s="24"/>
      <c r="I1155" s="24"/>
    </row>
    <row r="1156" spans="7:9" x14ac:dyDescent="0.3">
      <c r="G1156" s="24"/>
      <c r="I1156" s="24"/>
    </row>
    <row r="1157" spans="7:9" x14ac:dyDescent="0.3">
      <c r="G1157" s="24"/>
      <c r="I1157" s="24"/>
    </row>
    <row r="1158" spans="7:9" x14ac:dyDescent="0.3">
      <c r="G1158" s="24"/>
      <c r="I1158" s="24"/>
    </row>
    <row r="1159" spans="7:9" x14ac:dyDescent="0.3">
      <c r="G1159" s="24"/>
      <c r="I1159" s="24"/>
    </row>
    <row r="1160" spans="7:9" x14ac:dyDescent="0.3">
      <c r="G1160" s="24"/>
      <c r="I1160" s="24"/>
    </row>
    <row r="1161" spans="7:9" x14ac:dyDescent="0.3">
      <c r="G1161" s="24"/>
      <c r="I1161" s="24"/>
    </row>
    <row r="1162" spans="7:9" x14ac:dyDescent="0.3">
      <c r="G1162" s="24"/>
      <c r="I1162" s="24"/>
    </row>
    <row r="1163" spans="7:9" x14ac:dyDescent="0.3">
      <c r="G1163" s="24"/>
      <c r="I1163" s="24"/>
    </row>
    <row r="1164" spans="7:9" x14ac:dyDescent="0.3">
      <c r="G1164" s="24"/>
      <c r="I1164" s="24"/>
    </row>
    <row r="1165" spans="7:9" x14ac:dyDescent="0.3">
      <c r="G1165" s="24"/>
      <c r="I1165" s="24"/>
    </row>
    <row r="1166" spans="7:9" x14ac:dyDescent="0.3">
      <c r="G1166" s="24"/>
      <c r="I1166" s="24"/>
    </row>
    <row r="1167" spans="7:9" x14ac:dyDescent="0.3">
      <c r="G1167" s="24"/>
      <c r="I1167" s="24"/>
    </row>
    <row r="1168" spans="7:9" x14ac:dyDescent="0.3">
      <c r="G1168" s="24"/>
      <c r="I1168" s="24"/>
    </row>
    <row r="1169" spans="7:9" x14ac:dyDescent="0.3">
      <c r="G1169" s="24"/>
      <c r="I1169" s="24"/>
    </row>
    <row r="1170" spans="7:9" x14ac:dyDescent="0.3">
      <c r="G1170" s="24"/>
      <c r="I1170" s="24"/>
    </row>
    <row r="1171" spans="7:9" x14ac:dyDescent="0.3">
      <c r="G1171" s="24"/>
      <c r="I1171" s="24"/>
    </row>
    <row r="1172" spans="7:9" x14ac:dyDescent="0.3">
      <c r="G1172" s="24"/>
      <c r="I1172" s="24"/>
    </row>
    <row r="1173" spans="7:9" x14ac:dyDescent="0.3">
      <c r="G1173" s="24"/>
      <c r="I1173" s="24"/>
    </row>
    <row r="1174" spans="7:9" x14ac:dyDescent="0.3">
      <c r="G1174" s="24"/>
      <c r="I1174" s="24"/>
    </row>
    <row r="1175" spans="7:9" x14ac:dyDescent="0.3">
      <c r="G1175" s="24"/>
      <c r="I1175" s="24"/>
    </row>
    <row r="1176" spans="7:9" x14ac:dyDescent="0.3">
      <c r="G1176" s="24"/>
      <c r="I1176" s="24"/>
    </row>
    <row r="1177" spans="7:9" x14ac:dyDescent="0.3">
      <c r="G1177" s="24"/>
      <c r="I1177" s="24"/>
    </row>
    <row r="1178" spans="7:9" x14ac:dyDescent="0.3">
      <c r="G1178" s="24"/>
      <c r="I1178" s="24"/>
    </row>
    <row r="1179" spans="7:9" x14ac:dyDescent="0.3">
      <c r="G1179" s="24"/>
      <c r="I1179" s="24"/>
    </row>
    <row r="1180" spans="7:9" x14ac:dyDescent="0.3">
      <c r="G1180" s="24"/>
      <c r="I1180" s="24"/>
    </row>
    <row r="1181" spans="7:9" x14ac:dyDescent="0.3">
      <c r="G1181" s="24"/>
      <c r="I1181" s="24"/>
    </row>
    <row r="1182" spans="7:9" x14ac:dyDescent="0.3">
      <c r="G1182" s="24"/>
      <c r="I1182" s="24"/>
    </row>
    <row r="1183" spans="7:9" x14ac:dyDescent="0.3">
      <c r="G1183" s="24"/>
      <c r="I1183" s="24"/>
    </row>
    <row r="1184" spans="7:9" x14ac:dyDescent="0.3">
      <c r="G1184" s="24"/>
      <c r="I1184" s="24"/>
    </row>
    <row r="1185" spans="7:9" x14ac:dyDescent="0.3">
      <c r="G1185" s="24"/>
      <c r="I1185" s="24"/>
    </row>
    <row r="1186" spans="7:9" x14ac:dyDescent="0.3">
      <c r="G1186" s="24"/>
      <c r="I1186" s="24"/>
    </row>
    <row r="1187" spans="7:9" x14ac:dyDescent="0.3">
      <c r="G1187" s="24"/>
      <c r="I1187" s="24"/>
    </row>
    <row r="1188" spans="7:9" x14ac:dyDescent="0.3">
      <c r="G1188" s="24"/>
      <c r="I1188" s="24"/>
    </row>
    <row r="1189" spans="7:9" x14ac:dyDescent="0.3">
      <c r="G1189" s="24"/>
      <c r="I1189" s="24"/>
    </row>
    <row r="1190" spans="7:9" x14ac:dyDescent="0.3">
      <c r="G1190" s="24"/>
      <c r="I1190" s="24"/>
    </row>
    <row r="1191" spans="7:9" x14ac:dyDescent="0.3">
      <c r="G1191" s="24"/>
      <c r="I1191" s="24"/>
    </row>
    <row r="1192" spans="7:9" x14ac:dyDescent="0.3">
      <c r="G1192" s="24"/>
      <c r="I1192" s="24"/>
    </row>
    <row r="1193" spans="7:9" x14ac:dyDescent="0.3">
      <c r="G1193" s="24"/>
      <c r="I1193" s="24"/>
    </row>
    <row r="1194" spans="7:9" x14ac:dyDescent="0.3">
      <c r="G1194" s="24"/>
      <c r="I1194" s="24"/>
    </row>
    <row r="1195" spans="7:9" x14ac:dyDescent="0.3">
      <c r="G1195" s="24"/>
      <c r="I1195" s="24"/>
    </row>
    <row r="1196" spans="7:9" x14ac:dyDescent="0.3">
      <c r="G1196" s="24"/>
      <c r="I1196" s="24"/>
    </row>
    <row r="1197" spans="7:9" x14ac:dyDescent="0.3">
      <c r="G1197" s="24"/>
      <c r="I1197" s="24"/>
    </row>
    <row r="1198" spans="7:9" x14ac:dyDescent="0.3">
      <c r="G1198" s="24"/>
      <c r="I1198" s="24"/>
    </row>
    <row r="1199" spans="7:9" x14ac:dyDescent="0.3">
      <c r="G1199" s="24"/>
      <c r="I1199" s="24"/>
    </row>
    <row r="1200" spans="7:9" x14ac:dyDescent="0.3">
      <c r="G1200" s="24"/>
      <c r="I1200" s="24"/>
    </row>
    <row r="1201" spans="7:9" x14ac:dyDescent="0.3">
      <c r="G1201" s="24"/>
      <c r="I1201" s="24"/>
    </row>
    <row r="1202" spans="7:9" x14ac:dyDescent="0.3">
      <c r="G1202" s="24"/>
      <c r="I1202" s="24"/>
    </row>
    <row r="1203" spans="7:9" x14ac:dyDescent="0.3">
      <c r="G1203" s="24"/>
      <c r="I1203" s="24"/>
    </row>
    <row r="1204" spans="7:9" x14ac:dyDescent="0.3">
      <c r="G1204" s="24"/>
      <c r="I1204" s="24"/>
    </row>
    <row r="1205" spans="7:9" x14ac:dyDescent="0.3">
      <c r="G1205" s="24"/>
      <c r="I1205" s="24"/>
    </row>
    <row r="1206" spans="7:9" x14ac:dyDescent="0.3">
      <c r="G1206" s="24"/>
      <c r="I1206" s="24"/>
    </row>
    <row r="1207" spans="7:9" x14ac:dyDescent="0.3">
      <c r="G1207" s="24"/>
      <c r="I1207" s="24"/>
    </row>
    <row r="1208" spans="7:9" x14ac:dyDescent="0.3">
      <c r="G1208" s="24"/>
      <c r="I1208" s="24"/>
    </row>
    <row r="1209" spans="7:9" x14ac:dyDescent="0.3">
      <c r="G1209" s="24"/>
      <c r="I1209" s="24"/>
    </row>
    <row r="1210" spans="7:9" x14ac:dyDescent="0.3">
      <c r="G1210" s="24"/>
      <c r="I1210" s="24"/>
    </row>
    <row r="1211" spans="7:9" x14ac:dyDescent="0.3">
      <c r="G1211" s="24"/>
      <c r="I1211" s="24"/>
    </row>
    <row r="1212" spans="7:9" x14ac:dyDescent="0.3">
      <c r="G1212" s="24"/>
      <c r="I1212" s="24"/>
    </row>
    <row r="1213" spans="7:9" x14ac:dyDescent="0.3">
      <c r="G1213" s="24"/>
      <c r="I1213" s="24"/>
    </row>
    <row r="1214" spans="7:9" x14ac:dyDescent="0.3">
      <c r="G1214" s="24"/>
      <c r="I1214" s="24"/>
    </row>
    <row r="1215" spans="7:9" x14ac:dyDescent="0.3">
      <c r="G1215" s="24"/>
      <c r="I1215" s="24"/>
    </row>
    <row r="1216" spans="7:9" x14ac:dyDescent="0.3">
      <c r="G1216" s="24"/>
      <c r="I1216" s="24"/>
    </row>
    <row r="1217" spans="7:9" x14ac:dyDescent="0.3">
      <c r="G1217" s="24"/>
      <c r="I1217" s="24"/>
    </row>
    <row r="1218" spans="7:9" x14ac:dyDescent="0.3">
      <c r="G1218" s="24"/>
      <c r="I1218" s="24"/>
    </row>
    <row r="1219" spans="7:9" x14ac:dyDescent="0.3">
      <c r="G1219" s="24"/>
      <c r="I1219" s="24"/>
    </row>
    <row r="1220" spans="7:9" x14ac:dyDescent="0.3">
      <c r="G1220" s="24"/>
      <c r="I1220" s="24"/>
    </row>
    <row r="1221" spans="7:9" x14ac:dyDescent="0.3">
      <c r="G1221" s="24"/>
      <c r="I1221" s="24"/>
    </row>
    <row r="1222" spans="7:9" x14ac:dyDescent="0.3">
      <c r="G1222" s="24"/>
      <c r="I1222" s="24"/>
    </row>
    <row r="1223" spans="7:9" x14ac:dyDescent="0.3">
      <c r="G1223" s="24"/>
      <c r="I1223" s="24"/>
    </row>
    <row r="1224" spans="7:9" x14ac:dyDescent="0.3">
      <c r="G1224" s="24"/>
      <c r="I1224" s="24"/>
    </row>
    <row r="1225" spans="7:9" x14ac:dyDescent="0.3">
      <c r="G1225" s="24"/>
      <c r="I1225" s="24"/>
    </row>
    <row r="1226" spans="7:9" x14ac:dyDescent="0.3">
      <c r="G1226" s="24"/>
      <c r="I1226" s="24"/>
    </row>
    <row r="1227" spans="7:9" x14ac:dyDescent="0.3">
      <c r="G1227" s="24"/>
      <c r="I1227" s="24"/>
    </row>
    <row r="1228" spans="7:9" x14ac:dyDescent="0.3">
      <c r="G1228" s="24"/>
      <c r="I1228" s="24"/>
    </row>
    <row r="1229" spans="7:9" x14ac:dyDescent="0.3">
      <c r="G1229" s="24"/>
      <c r="I1229" s="24"/>
    </row>
    <row r="1230" spans="7:9" x14ac:dyDescent="0.3">
      <c r="G1230" s="24"/>
      <c r="I1230" s="24"/>
    </row>
    <row r="1231" spans="7:9" x14ac:dyDescent="0.3">
      <c r="G1231" s="24"/>
      <c r="I1231" s="24"/>
    </row>
    <row r="1232" spans="7:9" x14ac:dyDescent="0.3">
      <c r="G1232" s="24"/>
      <c r="I1232" s="24"/>
    </row>
    <row r="1233" spans="7:9" x14ac:dyDescent="0.3">
      <c r="G1233" s="24"/>
      <c r="I1233" s="24"/>
    </row>
    <row r="1234" spans="7:9" x14ac:dyDescent="0.3">
      <c r="G1234" s="24"/>
      <c r="I1234" s="24"/>
    </row>
    <row r="1235" spans="7:9" x14ac:dyDescent="0.3">
      <c r="G1235" s="24"/>
      <c r="I1235" s="24"/>
    </row>
    <row r="1236" spans="7:9" x14ac:dyDescent="0.3">
      <c r="G1236" s="24"/>
      <c r="I1236" s="24"/>
    </row>
    <row r="1237" spans="7:9" x14ac:dyDescent="0.3">
      <c r="G1237" s="24"/>
      <c r="I1237" s="24"/>
    </row>
    <row r="1238" spans="7:9" x14ac:dyDescent="0.3">
      <c r="G1238" s="24"/>
      <c r="I1238" s="24"/>
    </row>
    <row r="1239" spans="7:9" x14ac:dyDescent="0.3">
      <c r="G1239" s="24"/>
      <c r="I1239" s="24"/>
    </row>
    <row r="1240" spans="7:9" x14ac:dyDescent="0.3">
      <c r="G1240" s="24"/>
      <c r="I1240" s="24"/>
    </row>
    <row r="1241" spans="7:9" x14ac:dyDescent="0.3">
      <c r="G1241" s="24"/>
      <c r="I1241" s="24"/>
    </row>
    <row r="1242" spans="7:9" x14ac:dyDescent="0.3">
      <c r="G1242" s="24"/>
      <c r="I1242" s="24"/>
    </row>
    <row r="1243" spans="7:9" x14ac:dyDescent="0.3">
      <c r="G1243" s="24"/>
      <c r="I1243" s="24"/>
    </row>
    <row r="1244" spans="7:9" x14ac:dyDescent="0.3">
      <c r="G1244" s="24"/>
      <c r="I1244" s="24"/>
    </row>
    <row r="1245" spans="7:9" x14ac:dyDescent="0.3">
      <c r="G1245" s="24"/>
      <c r="I1245" s="24"/>
    </row>
    <row r="1246" spans="7:9" x14ac:dyDescent="0.3">
      <c r="G1246" s="24"/>
      <c r="I1246" s="24"/>
    </row>
    <row r="1247" spans="7:9" x14ac:dyDescent="0.3">
      <c r="G1247" s="24"/>
      <c r="I1247" s="24"/>
    </row>
    <row r="1248" spans="7:9" x14ac:dyDescent="0.3">
      <c r="G1248" s="24"/>
      <c r="I1248" s="24"/>
    </row>
    <row r="1249" spans="7:9" x14ac:dyDescent="0.3">
      <c r="G1249" s="24"/>
      <c r="I1249" s="24"/>
    </row>
    <row r="1250" spans="7:9" x14ac:dyDescent="0.3">
      <c r="G1250" s="24"/>
      <c r="I1250" s="24"/>
    </row>
    <row r="1251" spans="7:9" x14ac:dyDescent="0.3">
      <c r="G1251" s="24"/>
      <c r="I1251" s="24"/>
    </row>
    <row r="1252" spans="7:9" x14ac:dyDescent="0.3">
      <c r="G1252" s="24"/>
      <c r="I1252" s="24"/>
    </row>
    <row r="1253" spans="7:9" x14ac:dyDescent="0.3">
      <c r="G1253" s="24"/>
      <c r="I1253" s="24"/>
    </row>
    <row r="1254" spans="7:9" x14ac:dyDescent="0.3">
      <c r="G1254" s="24"/>
      <c r="I1254" s="24"/>
    </row>
    <row r="1255" spans="7:9" x14ac:dyDescent="0.3">
      <c r="G1255" s="24"/>
      <c r="I1255" s="24"/>
    </row>
    <row r="1256" spans="7:9" x14ac:dyDescent="0.3">
      <c r="G1256" s="24"/>
      <c r="I1256" s="24"/>
    </row>
    <row r="1257" spans="7:9" x14ac:dyDescent="0.3">
      <c r="G1257" s="24"/>
      <c r="I1257" s="24"/>
    </row>
    <row r="1258" spans="7:9" x14ac:dyDescent="0.3">
      <c r="G1258" s="24"/>
      <c r="I1258" s="24"/>
    </row>
    <row r="1259" spans="7:9" x14ac:dyDescent="0.3">
      <c r="G1259" s="24"/>
      <c r="I1259" s="24"/>
    </row>
    <row r="1260" spans="7:9" x14ac:dyDescent="0.3">
      <c r="G1260" s="24"/>
      <c r="I1260" s="24"/>
    </row>
    <row r="1261" spans="7:9" x14ac:dyDescent="0.3">
      <c r="G1261" s="24"/>
      <c r="I1261" s="24"/>
    </row>
    <row r="1262" spans="7:9" x14ac:dyDescent="0.3">
      <c r="G1262" s="24"/>
      <c r="I1262" s="24"/>
    </row>
    <row r="1263" spans="7:9" x14ac:dyDescent="0.3">
      <c r="G1263" s="24"/>
      <c r="I1263" s="24"/>
    </row>
    <row r="1264" spans="7:9" x14ac:dyDescent="0.3">
      <c r="G1264" s="24"/>
      <c r="I1264" s="24"/>
    </row>
    <row r="1265" spans="7:9" x14ac:dyDescent="0.3">
      <c r="G1265" s="24"/>
      <c r="I1265" s="24"/>
    </row>
    <row r="1266" spans="7:9" x14ac:dyDescent="0.3">
      <c r="G1266" s="24"/>
      <c r="I1266" s="24"/>
    </row>
    <row r="1267" spans="7:9" x14ac:dyDescent="0.3">
      <c r="G1267" s="24"/>
      <c r="I1267" s="24"/>
    </row>
    <row r="1268" spans="7:9" x14ac:dyDescent="0.3">
      <c r="G1268" s="24"/>
      <c r="I1268" s="24"/>
    </row>
    <row r="1269" spans="7:9" x14ac:dyDescent="0.3">
      <c r="G1269" s="24"/>
      <c r="I1269" s="24"/>
    </row>
    <row r="1270" spans="7:9" x14ac:dyDescent="0.3">
      <c r="G1270" s="24"/>
      <c r="I1270" s="24"/>
    </row>
    <row r="1271" spans="7:9" x14ac:dyDescent="0.3">
      <c r="G1271" s="24"/>
      <c r="I1271" s="24"/>
    </row>
    <row r="1272" spans="7:9" x14ac:dyDescent="0.3">
      <c r="G1272" s="24"/>
      <c r="I1272" s="24"/>
    </row>
    <row r="1273" spans="7:9" x14ac:dyDescent="0.3">
      <c r="G1273" s="24"/>
      <c r="I1273" s="24"/>
    </row>
    <row r="1274" spans="7:9" x14ac:dyDescent="0.3">
      <c r="G1274" s="24"/>
      <c r="I1274" s="24"/>
    </row>
    <row r="1275" spans="7:9" x14ac:dyDescent="0.3">
      <c r="G1275" s="24"/>
      <c r="I1275" s="24"/>
    </row>
    <row r="1276" spans="7:9" x14ac:dyDescent="0.3">
      <c r="G1276" s="24"/>
      <c r="I1276" s="24"/>
    </row>
    <row r="1277" spans="7:9" x14ac:dyDescent="0.3">
      <c r="G1277" s="24"/>
      <c r="I1277" s="24"/>
    </row>
    <row r="1278" spans="7:9" x14ac:dyDescent="0.3">
      <c r="G1278" s="24"/>
      <c r="I1278" s="24"/>
    </row>
    <row r="1279" spans="7:9" x14ac:dyDescent="0.3">
      <c r="G1279" s="24"/>
      <c r="I1279" s="24"/>
    </row>
    <row r="1280" spans="7:9" x14ac:dyDescent="0.3">
      <c r="G1280" s="24"/>
      <c r="I1280" s="24"/>
    </row>
    <row r="1281" spans="7:9" x14ac:dyDescent="0.3">
      <c r="G1281" s="24"/>
      <c r="I1281" s="24"/>
    </row>
    <row r="1282" spans="7:9" x14ac:dyDescent="0.3">
      <c r="G1282" s="24"/>
      <c r="I1282" s="24"/>
    </row>
    <row r="1283" spans="7:9" x14ac:dyDescent="0.3">
      <c r="G1283" s="24"/>
      <c r="I1283" s="24"/>
    </row>
    <row r="1284" spans="7:9" x14ac:dyDescent="0.3">
      <c r="G1284" s="24"/>
      <c r="I1284" s="24"/>
    </row>
    <row r="1285" spans="7:9" x14ac:dyDescent="0.3">
      <c r="G1285" s="24"/>
      <c r="I1285" s="24"/>
    </row>
    <row r="1286" spans="7:9" x14ac:dyDescent="0.3">
      <c r="G1286" s="24"/>
      <c r="I1286" s="24"/>
    </row>
    <row r="1287" spans="7:9" x14ac:dyDescent="0.3">
      <c r="G1287" s="24"/>
      <c r="I1287" s="24"/>
    </row>
    <row r="1288" spans="7:9" x14ac:dyDescent="0.3">
      <c r="G1288" s="24"/>
      <c r="I1288" s="24"/>
    </row>
    <row r="1289" spans="7:9" x14ac:dyDescent="0.3">
      <c r="G1289" s="24"/>
      <c r="I1289" s="24"/>
    </row>
    <row r="1290" spans="7:9" x14ac:dyDescent="0.3">
      <c r="G1290" s="24"/>
      <c r="I1290" s="24"/>
    </row>
    <row r="1291" spans="7:9" x14ac:dyDescent="0.3">
      <c r="G1291" s="24"/>
      <c r="I1291" s="24"/>
    </row>
    <row r="1292" spans="7:9" x14ac:dyDescent="0.3">
      <c r="G1292" s="24"/>
      <c r="I1292" s="24"/>
    </row>
    <row r="1293" spans="7:9" x14ac:dyDescent="0.3">
      <c r="G1293" s="24"/>
      <c r="I1293" s="24"/>
    </row>
    <row r="1294" spans="7:9" x14ac:dyDescent="0.3">
      <c r="G1294" s="24"/>
      <c r="I1294" s="24"/>
    </row>
    <row r="1295" spans="7:9" x14ac:dyDescent="0.3">
      <c r="G1295" s="24"/>
      <c r="I1295" s="24"/>
    </row>
    <row r="1296" spans="7:9" x14ac:dyDescent="0.3">
      <c r="G1296" s="24"/>
      <c r="I1296" s="24"/>
    </row>
    <row r="1297" spans="7:9" x14ac:dyDescent="0.3">
      <c r="G1297" s="24"/>
      <c r="I1297" s="24"/>
    </row>
    <row r="1298" spans="7:9" x14ac:dyDescent="0.3">
      <c r="G1298" s="24"/>
      <c r="I1298" s="24"/>
    </row>
    <row r="1299" spans="7:9" x14ac:dyDescent="0.3">
      <c r="G1299" s="24"/>
      <c r="I1299" s="24"/>
    </row>
    <row r="1300" spans="7:9" x14ac:dyDescent="0.3">
      <c r="G1300" s="24"/>
      <c r="I1300" s="24"/>
    </row>
    <row r="1301" spans="7:9" x14ac:dyDescent="0.3">
      <c r="G1301" s="24"/>
      <c r="I1301" s="24"/>
    </row>
    <row r="1302" spans="7:9" x14ac:dyDescent="0.3">
      <c r="G1302" s="24"/>
      <c r="I1302" s="24"/>
    </row>
    <row r="1303" spans="7:9" x14ac:dyDescent="0.3">
      <c r="G1303" s="24"/>
      <c r="I1303" s="24"/>
    </row>
    <row r="1304" spans="7:9" x14ac:dyDescent="0.3">
      <c r="G1304" s="24"/>
      <c r="I1304" s="24"/>
    </row>
    <row r="1305" spans="7:9" x14ac:dyDescent="0.3">
      <c r="G1305" s="24"/>
      <c r="I1305" s="24"/>
    </row>
    <row r="1306" spans="7:9" x14ac:dyDescent="0.3">
      <c r="G1306" s="24"/>
      <c r="I1306" s="24"/>
    </row>
    <row r="1307" spans="7:9" x14ac:dyDescent="0.3">
      <c r="G1307" s="24"/>
      <c r="I1307" s="24"/>
    </row>
    <row r="1308" spans="7:9" x14ac:dyDescent="0.3">
      <c r="G1308" s="24"/>
      <c r="I1308" s="24"/>
    </row>
    <row r="1309" spans="7:9" x14ac:dyDescent="0.3">
      <c r="G1309" s="24"/>
      <c r="I1309" s="24"/>
    </row>
    <row r="1310" spans="7:9" x14ac:dyDescent="0.3">
      <c r="G1310" s="24"/>
      <c r="I1310" s="24"/>
    </row>
    <row r="1311" spans="7:9" x14ac:dyDescent="0.3">
      <c r="G1311" s="24"/>
      <c r="I1311" s="24"/>
    </row>
    <row r="1312" spans="7:9" x14ac:dyDescent="0.3">
      <c r="G1312" s="24"/>
      <c r="I1312" s="24"/>
    </row>
    <row r="1313" spans="7:9" x14ac:dyDescent="0.3">
      <c r="G1313" s="24"/>
      <c r="I1313" s="24"/>
    </row>
    <row r="1314" spans="7:9" x14ac:dyDescent="0.3">
      <c r="G1314" s="24"/>
      <c r="I1314" s="24"/>
    </row>
    <row r="1315" spans="7:9" x14ac:dyDescent="0.3">
      <c r="G1315" s="24"/>
      <c r="I1315" s="24"/>
    </row>
    <row r="1316" spans="7:9" x14ac:dyDescent="0.3">
      <c r="G1316" s="24"/>
      <c r="I1316" s="24"/>
    </row>
    <row r="1317" spans="7:9" x14ac:dyDescent="0.3">
      <c r="G1317" s="24"/>
      <c r="I1317" s="24"/>
    </row>
    <row r="1318" spans="7:9" x14ac:dyDescent="0.3">
      <c r="G1318" s="24"/>
      <c r="I1318" s="24"/>
    </row>
    <row r="1319" spans="7:9" x14ac:dyDescent="0.3">
      <c r="G1319" s="24"/>
      <c r="I1319" s="24"/>
    </row>
    <row r="1320" spans="7:9" x14ac:dyDescent="0.3">
      <c r="G1320" s="24"/>
      <c r="I1320" s="24"/>
    </row>
    <row r="1321" spans="7:9" x14ac:dyDescent="0.3">
      <c r="G1321" s="24"/>
      <c r="I1321" s="24"/>
    </row>
    <row r="1322" spans="7:9" x14ac:dyDescent="0.3">
      <c r="G1322" s="24"/>
      <c r="I1322" s="24"/>
    </row>
    <row r="1323" spans="7:9" x14ac:dyDescent="0.3">
      <c r="G1323" s="24"/>
      <c r="I1323" s="24"/>
    </row>
    <row r="1324" spans="7:9" x14ac:dyDescent="0.3">
      <c r="G1324" s="24"/>
      <c r="I1324" s="24"/>
    </row>
    <row r="1325" spans="7:9" x14ac:dyDescent="0.3">
      <c r="G1325" s="24"/>
      <c r="I1325" s="24"/>
    </row>
    <row r="1326" spans="7:9" x14ac:dyDescent="0.3">
      <c r="G1326" s="24"/>
      <c r="I1326" s="24"/>
    </row>
    <row r="1327" spans="7:9" x14ac:dyDescent="0.3">
      <c r="G1327" s="24"/>
      <c r="I1327" s="24"/>
    </row>
    <row r="1328" spans="7:9" x14ac:dyDescent="0.3">
      <c r="G1328" s="24"/>
      <c r="I1328" s="24"/>
    </row>
    <row r="1329" spans="7:9" x14ac:dyDescent="0.3">
      <c r="G1329" s="24"/>
      <c r="I1329" s="24"/>
    </row>
    <row r="1330" spans="7:9" x14ac:dyDescent="0.3">
      <c r="G1330" s="24"/>
      <c r="I1330" s="24"/>
    </row>
    <row r="1331" spans="7:9" x14ac:dyDescent="0.3">
      <c r="G1331" s="24"/>
      <c r="I1331" s="24"/>
    </row>
    <row r="1332" spans="7:9" x14ac:dyDescent="0.3">
      <c r="G1332" s="24"/>
      <c r="I1332" s="24"/>
    </row>
    <row r="1333" spans="7:9" x14ac:dyDescent="0.3">
      <c r="G1333" s="24"/>
      <c r="I1333" s="24"/>
    </row>
    <row r="1334" spans="7:9" x14ac:dyDescent="0.3">
      <c r="G1334" s="24"/>
      <c r="I1334" s="24"/>
    </row>
    <row r="1335" spans="7:9" x14ac:dyDescent="0.3">
      <c r="G1335" s="24"/>
      <c r="I1335" s="24"/>
    </row>
    <row r="1336" spans="7:9" x14ac:dyDescent="0.3">
      <c r="G1336" s="24"/>
      <c r="I1336" s="24"/>
    </row>
    <row r="1337" spans="7:9" x14ac:dyDescent="0.3">
      <c r="G1337" s="24"/>
      <c r="I1337" s="24"/>
    </row>
    <row r="1338" spans="7:9" x14ac:dyDescent="0.3">
      <c r="G1338" s="24"/>
      <c r="I1338" s="24"/>
    </row>
    <row r="1339" spans="7:9" x14ac:dyDescent="0.3">
      <c r="G1339" s="24"/>
      <c r="I1339" s="24"/>
    </row>
    <row r="1340" spans="7:9" x14ac:dyDescent="0.3">
      <c r="G1340" s="24"/>
      <c r="I1340" s="24"/>
    </row>
    <row r="1341" spans="7:9" x14ac:dyDescent="0.3">
      <c r="G1341" s="24"/>
      <c r="I1341" s="24"/>
    </row>
    <row r="1342" spans="7:9" x14ac:dyDescent="0.3">
      <c r="G1342" s="24"/>
      <c r="I1342" s="24"/>
    </row>
    <row r="1343" spans="7:9" x14ac:dyDescent="0.3">
      <c r="G1343" s="24"/>
      <c r="I1343" s="24"/>
    </row>
    <row r="1344" spans="7:9" x14ac:dyDescent="0.3">
      <c r="G1344" s="24"/>
      <c r="I1344" s="24"/>
    </row>
    <row r="1345" spans="7:9" x14ac:dyDescent="0.3">
      <c r="G1345" s="24"/>
      <c r="I1345" s="24"/>
    </row>
    <row r="1346" spans="7:9" x14ac:dyDescent="0.3">
      <c r="G1346" s="24"/>
      <c r="I1346" s="24"/>
    </row>
    <row r="1347" spans="7:9" x14ac:dyDescent="0.3">
      <c r="G1347" s="24"/>
      <c r="I1347" s="24"/>
    </row>
    <row r="1348" spans="7:9" x14ac:dyDescent="0.3">
      <c r="G1348" s="24"/>
      <c r="I1348" s="24"/>
    </row>
    <row r="1349" spans="7:9" x14ac:dyDescent="0.3">
      <c r="G1349" s="24"/>
      <c r="I1349" s="24"/>
    </row>
    <row r="1350" spans="7:9" x14ac:dyDescent="0.3">
      <c r="G1350" s="24"/>
      <c r="I1350" s="24"/>
    </row>
    <row r="1351" spans="7:9" x14ac:dyDescent="0.3">
      <c r="G1351" s="24"/>
      <c r="I1351" s="24"/>
    </row>
    <row r="1352" spans="7:9" x14ac:dyDescent="0.3">
      <c r="G1352" s="24"/>
      <c r="I1352" s="24"/>
    </row>
    <row r="1353" spans="7:9" x14ac:dyDescent="0.3">
      <c r="G1353" s="24"/>
      <c r="I1353" s="24"/>
    </row>
    <row r="1354" spans="7:9" x14ac:dyDescent="0.3">
      <c r="G1354" s="24"/>
      <c r="I1354" s="24"/>
    </row>
    <row r="1355" spans="7:9" x14ac:dyDescent="0.3">
      <c r="G1355" s="24"/>
      <c r="I1355" s="24"/>
    </row>
    <row r="1356" spans="7:9" x14ac:dyDescent="0.3">
      <c r="G1356" s="24"/>
      <c r="I1356" s="24"/>
    </row>
    <row r="1357" spans="7:9" x14ac:dyDescent="0.3">
      <c r="G1357" s="24"/>
      <c r="I1357" s="24"/>
    </row>
    <row r="1358" spans="7:9" x14ac:dyDescent="0.3">
      <c r="G1358" s="24"/>
      <c r="I1358" s="24"/>
    </row>
    <row r="1359" spans="7:9" x14ac:dyDescent="0.3">
      <c r="G1359" s="24"/>
      <c r="I1359" s="24"/>
    </row>
    <row r="1360" spans="7:9" x14ac:dyDescent="0.3">
      <c r="G1360" s="24"/>
      <c r="I1360" s="24"/>
    </row>
    <row r="1361" spans="7:9" x14ac:dyDescent="0.3">
      <c r="G1361" s="24"/>
      <c r="I1361" s="24"/>
    </row>
    <row r="1362" spans="7:9" x14ac:dyDescent="0.3">
      <c r="G1362" s="24"/>
      <c r="I1362" s="24"/>
    </row>
    <row r="1363" spans="7:9" x14ac:dyDescent="0.3">
      <c r="G1363" s="24"/>
      <c r="I1363" s="24"/>
    </row>
    <row r="1364" spans="7:9" x14ac:dyDescent="0.3">
      <c r="G1364" s="24"/>
      <c r="I1364" s="24"/>
    </row>
    <row r="1365" spans="7:9" x14ac:dyDescent="0.3">
      <c r="G1365" s="24"/>
      <c r="I1365" s="24"/>
    </row>
    <row r="1366" spans="7:9" x14ac:dyDescent="0.3">
      <c r="G1366" s="24"/>
      <c r="I1366" s="24"/>
    </row>
    <row r="1367" spans="7:9" x14ac:dyDescent="0.3">
      <c r="G1367" s="24"/>
      <c r="I1367" s="24"/>
    </row>
    <row r="1368" spans="7:9" x14ac:dyDescent="0.3">
      <c r="G1368" s="24"/>
      <c r="I1368" s="24"/>
    </row>
    <row r="1369" spans="7:9" x14ac:dyDescent="0.3">
      <c r="G1369" s="24"/>
      <c r="I1369" s="24"/>
    </row>
    <row r="1370" spans="7:9" x14ac:dyDescent="0.3">
      <c r="G1370" s="24"/>
      <c r="I1370" s="24"/>
    </row>
    <row r="1371" spans="7:9" x14ac:dyDescent="0.3">
      <c r="G1371" s="24"/>
      <c r="I1371" s="24"/>
    </row>
    <row r="1372" spans="7:9" x14ac:dyDescent="0.3">
      <c r="G1372" s="24"/>
      <c r="I1372" s="24"/>
    </row>
    <row r="1373" spans="7:9" x14ac:dyDescent="0.3">
      <c r="G1373" s="24"/>
      <c r="I1373" s="24"/>
    </row>
    <row r="1374" spans="7:9" x14ac:dyDescent="0.3">
      <c r="G1374" s="24"/>
      <c r="I1374" s="24"/>
    </row>
    <row r="1375" spans="7:9" x14ac:dyDescent="0.3">
      <c r="G1375" s="24"/>
      <c r="I1375" s="24"/>
    </row>
    <row r="1376" spans="7:9" x14ac:dyDescent="0.3">
      <c r="G1376" s="24"/>
      <c r="I1376" s="24"/>
    </row>
    <row r="1377" spans="7:9" x14ac:dyDescent="0.3">
      <c r="G1377" s="24"/>
      <c r="I1377" s="24"/>
    </row>
    <row r="1378" spans="7:9" x14ac:dyDescent="0.3">
      <c r="G1378" s="24"/>
      <c r="I1378" s="24"/>
    </row>
    <row r="1379" spans="7:9" x14ac:dyDescent="0.3">
      <c r="G1379" s="24"/>
      <c r="I1379" s="24"/>
    </row>
    <row r="1380" spans="7:9" x14ac:dyDescent="0.3">
      <c r="G1380" s="24"/>
      <c r="I1380" s="24"/>
    </row>
    <row r="1381" spans="7:9" x14ac:dyDescent="0.3">
      <c r="G1381" s="24"/>
      <c r="I1381" s="24"/>
    </row>
    <row r="1382" spans="7:9" x14ac:dyDescent="0.3">
      <c r="G1382" s="24"/>
      <c r="I1382" s="24"/>
    </row>
    <row r="1383" spans="7:9" x14ac:dyDescent="0.3">
      <c r="G1383" s="24"/>
      <c r="I1383" s="24"/>
    </row>
    <row r="1384" spans="7:9" x14ac:dyDescent="0.3">
      <c r="G1384" s="24"/>
      <c r="I1384" s="24"/>
    </row>
    <row r="1385" spans="7:9" x14ac:dyDescent="0.3">
      <c r="G1385" s="24"/>
      <c r="I1385" s="24"/>
    </row>
    <row r="1386" spans="7:9" x14ac:dyDescent="0.3">
      <c r="G1386" s="24"/>
      <c r="I1386" s="24"/>
    </row>
    <row r="1387" spans="7:9" x14ac:dyDescent="0.3">
      <c r="G1387" s="24"/>
      <c r="I1387" s="24"/>
    </row>
    <row r="1388" spans="7:9" x14ac:dyDescent="0.3">
      <c r="G1388" s="24"/>
      <c r="I1388" s="24"/>
    </row>
    <row r="1389" spans="7:9" x14ac:dyDescent="0.3">
      <c r="G1389" s="24"/>
      <c r="I1389" s="24"/>
    </row>
    <row r="1390" spans="7:9" x14ac:dyDescent="0.3">
      <c r="G1390" s="24"/>
      <c r="I1390" s="24"/>
    </row>
    <row r="1391" spans="7:9" x14ac:dyDescent="0.3">
      <c r="G1391" s="24"/>
      <c r="I1391" s="24"/>
    </row>
    <row r="1392" spans="7:9" x14ac:dyDescent="0.3">
      <c r="G1392" s="24"/>
      <c r="I1392" s="24"/>
    </row>
    <row r="1393" spans="7:9" x14ac:dyDescent="0.3">
      <c r="G1393" s="24"/>
      <c r="I1393" s="24"/>
    </row>
    <row r="1394" spans="7:9" x14ac:dyDescent="0.3">
      <c r="G1394" s="24"/>
      <c r="I1394" s="24"/>
    </row>
    <row r="1395" spans="7:9" x14ac:dyDescent="0.3">
      <c r="G1395" s="24"/>
      <c r="I1395" s="24"/>
    </row>
    <row r="1396" spans="7:9" x14ac:dyDescent="0.3">
      <c r="G1396" s="24"/>
      <c r="I1396" s="24"/>
    </row>
    <row r="1397" spans="7:9" x14ac:dyDescent="0.3">
      <c r="G1397" s="24"/>
      <c r="I1397" s="24"/>
    </row>
    <row r="1398" spans="7:9" x14ac:dyDescent="0.3">
      <c r="G1398" s="24"/>
      <c r="I1398" s="24"/>
    </row>
    <row r="1399" spans="7:9" x14ac:dyDescent="0.3">
      <c r="G1399" s="24"/>
      <c r="I1399" s="24"/>
    </row>
    <row r="1400" spans="7:9" x14ac:dyDescent="0.3">
      <c r="G1400" s="24"/>
      <c r="I1400" s="24"/>
    </row>
    <row r="1401" spans="7:9" x14ac:dyDescent="0.3">
      <c r="G1401" s="24"/>
      <c r="I1401" s="24"/>
    </row>
    <row r="1402" spans="7:9" x14ac:dyDescent="0.3">
      <c r="G1402" s="24"/>
      <c r="I1402" s="24"/>
    </row>
    <row r="1403" spans="7:9" x14ac:dyDescent="0.3">
      <c r="G1403" s="24"/>
      <c r="I1403" s="24"/>
    </row>
    <row r="1404" spans="7:9" x14ac:dyDescent="0.3">
      <c r="G1404" s="24"/>
      <c r="I1404" s="24"/>
    </row>
    <row r="1405" spans="7:9" x14ac:dyDescent="0.3">
      <c r="G1405" s="24"/>
      <c r="I1405" s="24"/>
    </row>
    <row r="1406" spans="7:9" x14ac:dyDescent="0.3">
      <c r="G1406" s="24"/>
      <c r="I1406" s="24"/>
    </row>
    <row r="1407" spans="7:9" x14ac:dyDescent="0.3">
      <c r="G1407" s="24"/>
      <c r="I1407" s="24"/>
    </row>
    <row r="1408" spans="7:9" x14ac:dyDescent="0.3">
      <c r="G1408" s="24"/>
      <c r="I1408" s="24"/>
    </row>
    <row r="1409" spans="7:9" x14ac:dyDescent="0.3">
      <c r="G1409" s="24"/>
      <c r="I1409" s="24"/>
    </row>
    <row r="1410" spans="7:9" x14ac:dyDescent="0.3">
      <c r="G1410" s="24"/>
      <c r="I1410" s="24"/>
    </row>
    <row r="1411" spans="7:9" x14ac:dyDescent="0.3">
      <c r="G1411" s="24"/>
      <c r="I1411" s="24"/>
    </row>
    <row r="1412" spans="7:9" x14ac:dyDescent="0.3">
      <c r="G1412" s="24"/>
      <c r="I1412" s="24"/>
    </row>
    <row r="1413" spans="7:9" x14ac:dyDescent="0.3">
      <c r="G1413" s="24"/>
      <c r="I1413" s="24"/>
    </row>
    <row r="1414" spans="7:9" x14ac:dyDescent="0.3">
      <c r="G1414" s="24"/>
      <c r="I1414" s="24"/>
    </row>
    <row r="1415" spans="7:9" x14ac:dyDescent="0.3">
      <c r="G1415" s="24"/>
      <c r="I1415" s="24"/>
    </row>
    <row r="1416" spans="7:9" x14ac:dyDescent="0.3">
      <c r="G1416" s="24"/>
      <c r="I1416" s="24"/>
    </row>
    <row r="1417" spans="7:9" x14ac:dyDescent="0.3">
      <c r="G1417" s="24"/>
      <c r="I1417" s="24"/>
    </row>
    <row r="1418" spans="7:9" x14ac:dyDescent="0.3">
      <c r="G1418" s="24"/>
      <c r="I1418" s="24"/>
    </row>
    <row r="1419" spans="7:9" x14ac:dyDescent="0.3">
      <c r="G1419" s="24"/>
      <c r="I1419" s="24"/>
    </row>
    <row r="1420" spans="7:9" x14ac:dyDescent="0.3">
      <c r="G1420" s="24"/>
      <c r="I1420" s="24"/>
    </row>
    <row r="1421" spans="7:9" x14ac:dyDescent="0.3">
      <c r="G1421" s="24"/>
      <c r="I1421" s="24"/>
    </row>
    <row r="1422" spans="7:9" x14ac:dyDescent="0.3">
      <c r="G1422" s="24"/>
      <c r="I1422" s="24"/>
    </row>
    <row r="1423" spans="7:9" x14ac:dyDescent="0.3">
      <c r="G1423" s="24"/>
      <c r="I1423" s="24"/>
    </row>
    <row r="1424" spans="7:9" x14ac:dyDescent="0.3">
      <c r="G1424" s="24"/>
      <c r="I1424" s="24"/>
    </row>
    <row r="1425" spans="7:9" x14ac:dyDescent="0.3">
      <c r="G1425" s="24"/>
      <c r="I1425" s="24"/>
    </row>
    <row r="1426" spans="7:9" x14ac:dyDescent="0.3">
      <c r="G1426" s="24"/>
      <c r="I1426" s="24"/>
    </row>
    <row r="1427" spans="7:9" x14ac:dyDescent="0.3">
      <c r="G1427" s="24"/>
      <c r="I1427" s="24"/>
    </row>
    <row r="1428" spans="7:9" x14ac:dyDescent="0.3">
      <c r="G1428" s="24"/>
      <c r="I1428" s="24"/>
    </row>
    <row r="1429" spans="7:9" x14ac:dyDescent="0.3">
      <c r="G1429" s="24"/>
      <c r="I1429" s="24"/>
    </row>
    <row r="1430" spans="7:9" x14ac:dyDescent="0.3">
      <c r="G1430" s="24"/>
      <c r="I1430" s="24"/>
    </row>
    <row r="1431" spans="7:9" x14ac:dyDescent="0.3">
      <c r="G1431" s="24"/>
      <c r="I1431" s="24"/>
    </row>
    <row r="1432" spans="7:9" x14ac:dyDescent="0.3">
      <c r="G1432" s="24"/>
      <c r="I1432" s="24"/>
    </row>
    <row r="1433" spans="7:9" x14ac:dyDescent="0.3">
      <c r="G1433" s="24"/>
      <c r="I1433" s="24"/>
    </row>
    <row r="1434" spans="7:9" x14ac:dyDescent="0.3">
      <c r="G1434" s="24"/>
      <c r="I1434" s="24"/>
    </row>
    <row r="1435" spans="7:9" x14ac:dyDescent="0.3">
      <c r="G1435" s="24"/>
      <c r="I1435" s="24"/>
    </row>
    <row r="1436" spans="7:9" x14ac:dyDescent="0.3">
      <c r="G1436" s="24"/>
      <c r="I1436" s="24"/>
    </row>
    <row r="1437" spans="7:9" x14ac:dyDescent="0.3">
      <c r="G1437" s="24"/>
      <c r="I1437" s="24"/>
    </row>
    <row r="1438" spans="7:9" x14ac:dyDescent="0.3">
      <c r="G1438" s="24"/>
      <c r="I1438" s="24"/>
    </row>
    <row r="1439" spans="7:9" x14ac:dyDescent="0.3">
      <c r="G1439" s="24"/>
      <c r="I1439" s="24"/>
    </row>
    <row r="1440" spans="7:9" x14ac:dyDescent="0.3">
      <c r="G1440" s="24"/>
      <c r="I1440" s="24"/>
    </row>
    <row r="1441" spans="7:9" x14ac:dyDescent="0.3">
      <c r="G1441" s="24"/>
      <c r="I1441" s="24"/>
    </row>
    <row r="1442" spans="7:9" x14ac:dyDescent="0.3">
      <c r="G1442" s="24"/>
      <c r="I1442" s="24"/>
    </row>
    <row r="1443" spans="7:9" x14ac:dyDescent="0.3">
      <c r="G1443" s="24"/>
      <c r="I1443" s="24"/>
    </row>
    <row r="1444" spans="7:9" x14ac:dyDescent="0.3">
      <c r="G1444" s="24"/>
      <c r="I1444" s="24"/>
    </row>
    <row r="1445" spans="7:9" x14ac:dyDescent="0.3">
      <c r="G1445" s="24"/>
      <c r="I1445" s="24"/>
    </row>
    <row r="1446" spans="7:9" x14ac:dyDescent="0.3">
      <c r="G1446" s="24"/>
      <c r="I1446" s="24"/>
    </row>
    <row r="1447" spans="7:9" x14ac:dyDescent="0.3">
      <c r="G1447" s="24"/>
      <c r="I1447" s="24"/>
    </row>
    <row r="1448" spans="7:9" x14ac:dyDescent="0.3">
      <c r="G1448" s="24"/>
      <c r="I1448" s="24"/>
    </row>
    <row r="1449" spans="7:9" x14ac:dyDescent="0.3">
      <c r="G1449" s="24"/>
      <c r="I1449" s="24"/>
    </row>
    <row r="1450" spans="7:9" x14ac:dyDescent="0.3">
      <c r="G1450" s="24"/>
      <c r="I1450" s="24"/>
    </row>
    <row r="1451" spans="7:9" x14ac:dyDescent="0.3">
      <c r="G1451" s="24"/>
      <c r="I1451" s="24"/>
    </row>
    <row r="1452" spans="7:9" x14ac:dyDescent="0.3">
      <c r="G1452" s="24"/>
      <c r="I1452" s="24"/>
    </row>
    <row r="1453" spans="7:9" x14ac:dyDescent="0.3">
      <c r="G1453" s="24"/>
      <c r="I1453" s="24"/>
    </row>
    <row r="1454" spans="7:9" x14ac:dyDescent="0.3">
      <c r="G1454" s="24"/>
      <c r="I1454" s="24"/>
    </row>
    <row r="1455" spans="7:9" x14ac:dyDescent="0.3">
      <c r="G1455" s="24"/>
      <c r="I1455" s="24"/>
    </row>
    <row r="1456" spans="7:9" x14ac:dyDescent="0.3">
      <c r="G1456" s="24"/>
      <c r="I1456" s="24"/>
    </row>
    <row r="1457" spans="7:9" x14ac:dyDescent="0.3">
      <c r="G1457" s="24"/>
      <c r="I1457" s="24"/>
    </row>
    <row r="1458" spans="7:9" x14ac:dyDescent="0.3">
      <c r="G1458" s="24"/>
      <c r="I1458" s="24"/>
    </row>
    <row r="1459" spans="7:9" x14ac:dyDescent="0.3">
      <c r="G1459" s="24"/>
      <c r="I1459" s="24"/>
    </row>
    <row r="1460" spans="7:9" x14ac:dyDescent="0.3">
      <c r="G1460" s="24"/>
      <c r="I1460" s="24"/>
    </row>
    <row r="1461" spans="7:9" x14ac:dyDescent="0.3">
      <c r="G1461" s="24"/>
      <c r="I1461" s="24"/>
    </row>
    <row r="1462" spans="7:9" x14ac:dyDescent="0.3">
      <c r="G1462" s="24"/>
      <c r="I1462" s="24"/>
    </row>
    <row r="1463" spans="7:9" x14ac:dyDescent="0.3">
      <c r="G1463" s="24"/>
      <c r="I1463" s="24"/>
    </row>
    <row r="1464" spans="7:9" x14ac:dyDescent="0.3">
      <c r="G1464" s="24"/>
      <c r="I1464" s="24"/>
    </row>
    <row r="1465" spans="7:9" x14ac:dyDescent="0.3">
      <c r="G1465" s="24"/>
      <c r="I1465" s="24"/>
    </row>
    <row r="1466" spans="7:9" x14ac:dyDescent="0.3">
      <c r="G1466" s="24"/>
      <c r="I1466" s="24"/>
    </row>
    <row r="1467" spans="7:9" x14ac:dyDescent="0.3">
      <c r="G1467" s="24"/>
      <c r="I1467" s="24"/>
    </row>
    <row r="1468" spans="7:9" x14ac:dyDescent="0.3">
      <c r="G1468" s="24"/>
      <c r="I1468" s="24"/>
    </row>
    <row r="1469" spans="7:9" x14ac:dyDescent="0.3">
      <c r="G1469" s="24"/>
      <c r="I1469" s="24"/>
    </row>
    <row r="1470" spans="7:9" x14ac:dyDescent="0.3">
      <c r="G1470" s="24"/>
      <c r="I1470" s="24"/>
    </row>
    <row r="1471" spans="7:9" x14ac:dyDescent="0.3">
      <c r="G1471" s="24"/>
      <c r="I1471" s="24"/>
    </row>
    <row r="1472" spans="7:9" x14ac:dyDescent="0.3">
      <c r="G1472" s="24"/>
      <c r="I1472" s="24"/>
    </row>
    <row r="1473" spans="7:9" x14ac:dyDescent="0.3">
      <c r="G1473" s="24"/>
      <c r="I1473" s="24"/>
    </row>
    <row r="1474" spans="7:9" x14ac:dyDescent="0.3">
      <c r="G1474" s="24"/>
      <c r="I1474" s="24"/>
    </row>
    <row r="1475" spans="7:9" x14ac:dyDescent="0.3">
      <c r="G1475" s="24"/>
      <c r="I1475" s="24"/>
    </row>
    <row r="1476" spans="7:9" x14ac:dyDescent="0.3">
      <c r="G1476" s="24"/>
      <c r="I1476" s="24"/>
    </row>
    <row r="1477" spans="7:9" x14ac:dyDescent="0.3">
      <c r="G1477" s="24"/>
      <c r="I1477" s="24"/>
    </row>
    <row r="1478" spans="7:9" x14ac:dyDescent="0.3">
      <c r="G1478" s="24"/>
      <c r="I1478" s="24"/>
    </row>
    <row r="1479" spans="7:9" x14ac:dyDescent="0.3">
      <c r="G1479" s="24"/>
      <c r="I1479" s="24"/>
    </row>
    <row r="1480" spans="7:9" x14ac:dyDescent="0.3">
      <c r="G1480" s="24"/>
      <c r="I1480" s="24"/>
    </row>
    <row r="1481" spans="7:9" x14ac:dyDescent="0.3">
      <c r="G1481" s="24"/>
      <c r="I1481" s="24"/>
    </row>
    <row r="1482" spans="7:9" x14ac:dyDescent="0.3">
      <c r="G1482" s="24"/>
      <c r="I1482" s="24"/>
    </row>
    <row r="1483" spans="7:9" x14ac:dyDescent="0.3">
      <c r="G1483" s="24"/>
      <c r="I1483" s="24"/>
    </row>
    <row r="1484" spans="7:9" x14ac:dyDescent="0.3">
      <c r="G1484" s="24"/>
      <c r="I1484" s="24"/>
    </row>
    <row r="1485" spans="7:9" x14ac:dyDescent="0.3">
      <c r="G1485" s="24"/>
      <c r="I1485" s="24"/>
    </row>
    <row r="1486" spans="7:9" x14ac:dyDescent="0.3">
      <c r="G1486" s="24"/>
      <c r="I1486" s="24"/>
    </row>
    <row r="1487" spans="7:9" x14ac:dyDescent="0.3">
      <c r="G1487" s="24"/>
      <c r="I1487" s="24"/>
    </row>
    <row r="1488" spans="7:9" x14ac:dyDescent="0.3">
      <c r="G1488" s="24"/>
      <c r="I1488" s="24"/>
    </row>
    <row r="1489" spans="7:9" x14ac:dyDescent="0.3">
      <c r="G1489" s="24"/>
      <c r="I1489" s="24"/>
    </row>
    <row r="1490" spans="7:9" x14ac:dyDescent="0.3">
      <c r="G1490" s="24"/>
      <c r="I1490" s="24"/>
    </row>
    <row r="1491" spans="7:9" x14ac:dyDescent="0.3">
      <c r="G1491" s="24"/>
      <c r="I1491" s="24"/>
    </row>
    <row r="1492" spans="7:9" x14ac:dyDescent="0.3">
      <c r="G1492" s="24"/>
      <c r="I1492" s="24"/>
    </row>
    <row r="1493" spans="7:9" x14ac:dyDescent="0.3">
      <c r="G1493" s="24"/>
      <c r="I1493" s="24"/>
    </row>
    <row r="1494" spans="7:9" x14ac:dyDescent="0.3">
      <c r="G1494" s="24"/>
      <c r="I1494" s="24"/>
    </row>
    <row r="1495" spans="7:9" x14ac:dyDescent="0.3">
      <c r="G1495" s="24"/>
      <c r="I1495" s="24"/>
    </row>
    <row r="1496" spans="7:9" x14ac:dyDescent="0.3">
      <c r="G1496" s="24"/>
      <c r="I1496" s="24"/>
    </row>
    <row r="1497" spans="7:9" x14ac:dyDescent="0.3">
      <c r="G1497" s="24"/>
      <c r="I1497" s="24"/>
    </row>
    <row r="1498" spans="7:9" x14ac:dyDescent="0.3">
      <c r="G1498" s="24"/>
      <c r="I1498" s="24"/>
    </row>
    <row r="1499" spans="7:9" x14ac:dyDescent="0.3">
      <c r="G1499" s="24"/>
      <c r="I1499" s="24"/>
    </row>
    <row r="1500" spans="7:9" x14ac:dyDescent="0.3">
      <c r="G1500" s="24"/>
      <c r="I1500" s="24"/>
    </row>
    <row r="1501" spans="7:9" x14ac:dyDescent="0.3">
      <c r="G1501" s="24"/>
      <c r="I1501" s="24"/>
    </row>
    <row r="1502" spans="7:9" x14ac:dyDescent="0.3">
      <c r="G1502" s="24"/>
      <c r="I1502" s="24"/>
    </row>
    <row r="1503" spans="7:9" x14ac:dyDescent="0.3">
      <c r="G1503" s="24"/>
      <c r="I1503" s="24"/>
    </row>
    <row r="1504" spans="7:9" x14ac:dyDescent="0.3">
      <c r="G1504" s="24"/>
      <c r="I1504" s="24"/>
    </row>
    <row r="1505" spans="7:9" x14ac:dyDescent="0.3">
      <c r="G1505" s="24"/>
      <c r="I1505" s="24"/>
    </row>
    <row r="1506" spans="7:9" x14ac:dyDescent="0.3">
      <c r="G1506" s="24"/>
      <c r="I1506" s="24"/>
    </row>
    <row r="1507" spans="7:9" x14ac:dyDescent="0.3">
      <c r="G1507" s="24"/>
      <c r="I1507" s="24"/>
    </row>
    <row r="1508" spans="7:9" x14ac:dyDescent="0.3">
      <c r="G1508" s="24"/>
      <c r="I1508" s="24"/>
    </row>
    <row r="1509" spans="7:9" x14ac:dyDescent="0.3">
      <c r="G1509" s="24"/>
      <c r="I1509" s="24"/>
    </row>
    <row r="1510" spans="7:9" x14ac:dyDescent="0.3">
      <c r="G1510" s="24"/>
      <c r="I1510" s="24"/>
    </row>
    <row r="1511" spans="7:9" x14ac:dyDescent="0.3">
      <c r="G1511" s="24"/>
      <c r="I1511" s="24"/>
    </row>
    <row r="1512" spans="7:9" x14ac:dyDescent="0.3">
      <c r="G1512" s="24"/>
      <c r="I1512" s="24"/>
    </row>
    <row r="1513" spans="7:9" x14ac:dyDescent="0.3">
      <c r="G1513" s="24"/>
      <c r="I1513" s="24"/>
    </row>
    <row r="1514" spans="7:9" x14ac:dyDescent="0.3">
      <c r="G1514" s="24"/>
      <c r="I1514" s="24"/>
    </row>
    <row r="1515" spans="7:9" x14ac:dyDescent="0.3">
      <c r="G1515" s="24"/>
      <c r="I1515" s="24"/>
    </row>
    <row r="1516" spans="7:9" x14ac:dyDescent="0.3">
      <c r="G1516" s="24"/>
      <c r="I1516" s="24"/>
    </row>
    <row r="1517" spans="7:9" x14ac:dyDescent="0.3">
      <c r="G1517" s="24"/>
      <c r="I1517" s="24"/>
    </row>
    <row r="1518" spans="7:9" x14ac:dyDescent="0.3">
      <c r="G1518" s="24"/>
      <c r="I1518" s="24"/>
    </row>
    <row r="1519" spans="7:9" x14ac:dyDescent="0.3">
      <c r="G1519" s="24"/>
      <c r="I1519" s="24"/>
    </row>
    <row r="1520" spans="7:9" x14ac:dyDescent="0.3">
      <c r="G1520" s="24"/>
      <c r="I1520" s="24"/>
    </row>
    <row r="1521" spans="7:9" x14ac:dyDescent="0.3">
      <c r="G1521" s="24"/>
      <c r="I1521" s="24"/>
    </row>
    <row r="1522" spans="7:9" x14ac:dyDescent="0.3">
      <c r="G1522" s="24"/>
      <c r="I1522" s="24"/>
    </row>
    <row r="1523" spans="7:9" x14ac:dyDescent="0.3">
      <c r="G1523" s="24"/>
      <c r="I1523" s="24"/>
    </row>
    <row r="1524" spans="7:9" x14ac:dyDescent="0.3">
      <c r="G1524" s="24"/>
      <c r="I1524" s="24"/>
    </row>
    <row r="1525" spans="7:9" x14ac:dyDescent="0.3">
      <c r="G1525" s="24"/>
      <c r="I1525" s="24"/>
    </row>
    <row r="1526" spans="7:9" x14ac:dyDescent="0.3">
      <c r="G1526" s="24"/>
      <c r="I1526" s="24"/>
    </row>
    <row r="1527" spans="7:9" x14ac:dyDescent="0.3">
      <c r="G1527" s="24"/>
      <c r="I1527" s="24"/>
    </row>
    <row r="1528" spans="7:9" x14ac:dyDescent="0.3">
      <c r="G1528" s="24"/>
      <c r="I1528" s="24"/>
    </row>
    <row r="1529" spans="7:9" x14ac:dyDescent="0.3">
      <c r="G1529" s="24"/>
      <c r="I1529" s="24"/>
    </row>
    <row r="1530" spans="7:9" x14ac:dyDescent="0.3">
      <c r="G1530" s="24"/>
      <c r="I1530" s="24"/>
    </row>
    <row r="1531" spans="7:9" x14ac:dyDescent="0.3">
      <c r="G1531" s="24"/>
      <c r="I1531" s="24"/>
    </row>
    <row r="1532" spans="7:9" x14ac:dyDescent="0.3">
      <c r="G1532" s="24"/>
      <c r="I1532" s="24"/>
    </row>
    <row r="1533" spans="7:9" x14ac:dyDescent="0.3">
      <c r="G1533" s="24"/>
      <c r="I1533" s="24"/>
    </row>
    <row r="1534" spans="7:9" x14ac:dyDescent="0.3">
      <c r="G1534" s="24"/>
      <c r="I1534" s="24"/>
    </row>
    <row r="1535" spans="7:9" x14ac:dyDescent="0.3">
      <c r="G1535" s="24"/>
      <c r="I1535" s="24"/>
    </row>
    <row r="1536" spans="7:9" x14ac:dyDescent="0.3">
      <c r="G1536" s="24"/>
      <c r="I1536" s="24"/>
    </row>
    <row r="1537" spans="7:9" x14ac:dyDescent="0.3">
      <c r="G1537" s="24"/>
      <c r="I1537" s="24"/>
    </row>
    <row r="1538" spans="7:9" x14ac:dyDescent="0.3">
      <c r="G1538" s="24"/>
      <c r="I1538" s="24"/>
    </row>
    <row r="1539" spans="7:9" x14ac:dyDescent="0.3">
      <c r="G1539" s="24"/>
      <c r="I1539" s="24"/>
    </row>
    <row r="1540" spans="7:9" x14ac:dyDescent="0.3">
      <c r="G1540" s="24"/>
      <c r="I1540" s="24"/>
    </row>
    <row r="1541" spans="7:9" x14ac:dyDescent="0.3">
      <c r="G1541" s="24"/>
      <c r="I1541" s="24"/>
    </row>
    <row r="1542" spans="7:9" x14ac:dyDescent="0.3">
      <c r="G1542" s="24"/>
      <c r="I1542" s="24"/>
    </row>
    <row r="1543" spans="7:9" x14ac:dyDescent="0.3">
      <c r="G1543" s="24"/>
      <c r="I1543" s="24"/>
    </row>
    <row r="1544" spans="7:9" x14ac:dyDescent="0.3">
      <c r="G1544" s="24"/>
      <c r="I1544" s="24"/>
    </row>
    <row r="1545" spans="7:9" x14ac:dyDescent="0.3">
      <c r="G1545" s="24"/>
      <c r="I1545" s="24"/>
    </row>
    <row r="1546" spans="7:9" x14ac:dyDescent="0.3">
      <c r="G1546" s="24"/>
      <c r="I1546" s="24"/>
    </row>
    <row r="1547" spans="7:9" x14ac:dyDescent="0.3">
      <c r="G1547" s="24"/>
      <c r="I1547" s="24"/>
    </row>
    <row r="1548" spans="7:9" x14ac:dyDescent="0.3">
      <c r="G1548" s="24"/>
      <c r="I1548" s="24"/>
    </row>
    <row r="1549" spans="7:9" x14ac:dyDescent="0.3">
      <c r="G1549" s="24"/>
      <c r="I1549" s="24"/>
    </row>
    <row r="1550" spans="7:9" x14ac:dyDescent="0.3">
      <c r="G1550" s="24"/>
      <c r="I1550" s="24"/>
    </row>
    <row r="1551" spans="7:9" x14ac:dyDescent="0.3">
      <c r="G1551" s="24"/>
      <c r="I1551" s="24"/>
    </row>
    <row r="1552" spans="7:9" x14ac:dyDescent="0.3">
      <c r="G1552" s="24"/>
      <c r="I1552" s="24"/>
    </row>
    <row r="1553" spans="7:9" x14ac:dyDescent="0.3">
      <c r="G1553" s="24"/>
      <c r="I1553" s="24"/>
    </row>
    <row r="1554" spans="7:9" x14ac:dyDescent="0.3">
      <c r="G1554" s="24"/>
      <c r="I1554" s="24"/>
    </row>
    <row r="1555" spans="7:9" x14ac:dyDescent="0.3">
      <c r="G1555" s="24"/>
      <c r="I1555" s="24"/>
    </row>
    <row r="1556" spans="7:9" x14ac:dyDescent="0.3">
      <c r="G1556" s="24"/>
      <c r="I1556" s="24"/>
    </row>
    <row r="1557" spans="7:9" x14ac:dyDescent="0.3">
      <c r="G1557" s="24"/>
      <c r="I1557" s="24"/>
    </row>
    <row r="1558" spans="7:9" x14ac:dyDescent="0.3">
      <c r="G1558" s="24"/>
      <c r="I1558" s="24"/>
    </row>
    <row r="1559" spans="7:9" x14ac:dyDescent="0.3">
      <c r="G1559" s="24"/>
      <c r="I1559" s="24"/>
    </row>
    <row r="1560" spans="7:9" x14ac:dyDescent="0.3">
      <c r="G1560" s="24"/>
      <c r="I1560" s="24"/>
    </row>
    <row r="1561" spans="7:9" x14ac:dyDescent="0.3">
      <c r="G1561" s="24"/>
      <c r="I1561" s="24"/>
    </row>
    <row r="1562" spans="7:9" x14ac:dyDescent="0.3">
      <c r="G1562" s="24"/>
      <c r="I1562" s="24"/>
    </row>
    <row r="1563" spans="7:9" x14ac:dyDescent="0.3">
      <c r="G1563" s="24"/>
      <c r="I1563" s="24"/>
    </row>
    <row r="1564" spans="7:9" x14ac:dyDescent="0.3">
      <c r="G1564" s="24"/>
      <c r="I1564" s="24"/>
    </row>
    <row r="1565" spans="7:9" x14ac:dyDescent="0.3">
      <c r="G1565" s="24"/>
      <c r="I1565" s="24"/>
    </row>
    <row r="1566" spans="7:9" x14ac:dyDescent="0.3">
      <c r="G1566" s="24"/>
      <c r="I1566" s="24"/>
    </row>
    <row r="1567" spans="7:9" x14ac:dyDescent="0.3">
      <c r="G1567" s="24"/>
      <c r="I1567" s="24"/>
    </row>
    <row r="1568" spans="7:9" x14ac:dyDescent="0.3">
      <c r="G1568" s="24"/>
      <c r="I1568" s="24"/>
    </row>
    <row r="1569" spans="7:9" x14ac:dyDescent="0.3">
      <c r="G1569" s="24"/>
      <c r="I1569" s="24"/>
    </row>
    <row r="1570" spans="7:9" x14ac:dyDescent="0.3">
      <c r="G1570" s="24"/>
      <c r="I1570" s="24"/>
    </row>
    <row r="1571" spans="7:9" x14ac:dyDescent="0.3">
      <c r="G1571" s="24"/>
      <c r="I1571" s="24"/>
    </row>
    <row r="1572" spans="7:9" x14ac:dyDescent="0.3">
      <c r="G1572" s="24"/>
      <c r="I1572" s="24"/>
    </row>
    <row r="1573" spans="7:9" x14ac:dyDescent="0.3">
      <c r="G1573" s="24"/>
      <c r="I1573" s="24"/>
    </row>
    <row r="1574" spans="7:9" x14ac:dyDescent="0.3">
      <c r="G1574" s="24"/>
      <c r="I1574" s="24"/>
    </row>
    <row r="1575" spans="7:9" x14ac:dyDescent="0.3">
      <c r="G1575" s="24"/>
      <c r="I1575" s="24"/>
    </row>
    <row r="1576" spans="7:9" x14ac:dyDescent="0.3">
      <c r="G1576" s="24"/>
      <c r="I1576" s="24"/>
    </row>
    <row r="1577" spans="7:9" x14ac:dyDescent="0.3">
      <c r="G1577" s="24"/>
      <c r="I1577" s="24"/>
    </row>
    <row r="1578" spans="7:9" x14ac:dyDescent="0.3">
      <c r="G1578" s="24"/>
      <c r="I1578" s="24"/>
    </row>
    <row r="1579" spans="7:9" x14ac:dyDescent="0.3">
      <c r="G1579" s="24"/>
      <c r="I1579" s="24"/>
    </row>
    <row r="1580" spans="7:9" x14ac:dyDescent="0.3">
      <c r="G1580" s="24"/>
      <c r="I1580" s="24"/>
    </row>
    <row r="1581" spans="7:9" x14ac:dyDescent="0.3">
      <c r="G1581" s="24"/>
      <c r="I1581" s="24"/>
    </row>
    <row r="1582" spans="7:9" x14ac:dyDescent="0.3">
      <c r="G1582" s="24"/>
      <c r="I1582" s="24"/>
    </row>
    <row r="1583" spans="7:9" x14ac:dyDescent="0.3">
      <c r="G1583" s="24"/>
      <c r="I1583" s="24"/>
    </row>
    <row r="1584" spans="7:9" x14ac:dyDescent="0.3">
      <c r="G1584" s="24"/>
      <c r="I1584" s="24"/>
    </row>
    <row r="1585" spans="7:9" x14ac:dyDescent="0.3">
      <c r="G1585" s="24"/>
      <c r="I1585" s="24"/>
    </row>
    <row r="1586" spans="7:9" x14ac:dyDescent="0.3">
      <c r="G1586" s="24"/>
      <c r="I1586" s="24"/>
    </row>
    <row r="1587" spans="7:9" x14ac:dyDescent="0.3">
      <c r="G1587" s="24"/>
      <c r="I1587" s="24"/>
    </row>
    <row r="1588" spans="7:9" x14ac:dyDescent="0.3">
      <c r="G1588" s="24"/>
      <c r="I1588" s="24"/>
    </row>
    <row r="1589" spans="7:9" x14ac:dyDescent="0.3">
      <c r="G1589" s="24"/>
      <c r="I1589" s="24"/>
    </row>
    <row r="1590" spans="7:9" x14ac:dyDescent="0.3">
      <c r="G1590" s="24"/>
      <c r="I1590" s="24"/>
    </row>
    <row r="1591" spans="7:9" x14ac:dyDescent="0.3">
      <c r="G1591" s="24"/>
      <c r="I1591" s="24"/>
    </row>
    <row r="1592" spans="7:9" x14ac:dyDescent="0.3">
      <c r="G1592" s="24"/>
      <c r="I1592" s="24"/>
    </row>
    <row r="1593" spans="7:9" x14ac:dyDescent="0.3">
      <c r="G1593" s="24"/>
      <c r="I1593" s="24"/>
    </row>
    <row r="1594" spans="7:9" x14ac:dyDescent="0.3">
      <c r="G1594" s="24"/>
      <c r="I1594" s="24"/>
    </row>
    <row r="1595" spans="7:9" x14ac:dyDescent="0.3">
      <c r="G1595" s="24"/>
      <c r="I1595" s="24"/>
    </row>
    <row r="1596" spans="7:9" x14ac:dyDescent="0.3">
      <c r="G1596" s="24"/>
      <c r="I1596" s="24"/>
    </row>
    <row r="1597" spans="7:9" x14ac:dyDescent="0.3">
      <c r="G1597" s="24"/>
      <c r="I1597" s="24"/>
    </row>
    <row r="1598" spans="7:9" x14ac:dyDescent="0.3">
      <c r="G1598" s="24"/>
      <c r="I1598" s="24"/>
    </row>
    <row r="1599" spans="7:9" x14ac:dyDescent="0.3">
      <c r="G1599" s="24"/>
      <c r="I1599" s="24"/>
    </row>
    <row r="1600" spans="7:9" x14ac:dyDescent="0.3">
      <c r="G1600" s="24"/>
      <c r="I1600" s="24"/>
    </row>
    <row r="1601" spans="7:9" x14ac:dyDescent="0.3">
      <c r="G1601" s="24"/>
      <c r="I1601" s="24"/>
    </row>
    <row r="1602" spans="7:9" x14ac:dyDescent="0.3">
      <c r="G1602" s="24"/>
      <c r="I1602" s="24"/>
    </row>
    <row r="1603" spans="7:9" x14ac:dyDescent="0.3">
      <c r="G1603" s="24"/>
      <c r="I1603" s="24"/>
    </row>
    <row r="1604" spans="7:9" x14ac:dyDescent="0.3">
      <c r="G1604" s="24"/>
      <c r="I1604" s="24"/>
    </row>
    <row r="1605" spans="7:9" x14ac:dyDescent="0.3">
      <c r="G1605" s="24"/>
      <c r="I1605" s="24"/>
    </row>
    <row r="1606" spans="7:9" x14ac:dyDescent="0.3">
      <c r="G1606" s="24"/>
      <c r="I1606" s="24"/>
    </row>
    <row r="1607" spans="7:9" x14ac:dyDescent="0.3">
      <c r="G1607" s="24"/>
      <c r="I1607" s="24"/>
    </row>
    <row r="1608" spans="7:9" x14ac:dyDescent="0.3">
      <c r="G1608" s="24"/>
      <c r="I1608" s="24"/>
    </row>
    <row r="1609" spans="7:9" x14ac:dyDescent="0.3">
      <c r="G1609" s="24"/>
      <c r="I1609" s="24"/>
    </row>
    <row r="1610" spans="7:9" x14ac:dyDescent="0.3">
      <c r="G1610" s="24"/>
      <c r="I1610" s="24"/>
    </row>
    <row r="1611" spans="7:9" x14ac:dyDescent="0.3">
      <c r="G1611" s="24"/>
      <c r="I1611" s="24"/>
    </row>
    <row r="1612" spans="7:9" x14ac:dyDescent="0.3">
      <c r="G1612" s="24"/>
      <c r="I1612" s="24"/>
    </row>
    <row r="1613" spans="7:9" x14ac:dyDescent="0.3">
      <c r="G1613" s="24"/>
      <c r="I1613" s="24"/>
    </row>
    <row r="1614" spans="7:9" x14ac:dyDescent="0.3">
      <c r="G1614" s="24"/>
      <c r="I1614" s="24"/>
    </row>
    <row r="1615" spans="7:9" x14ac:dyDescent="0.3">
      <c r="G1615" s="24"/>
      <c r="I1615" s="24"/>
    </row>
    <row r="1616" spans="7:9" x14ac:dyDescent="0.3">
      <c r="G1616" s="24"/>
      <c r="I1616" s="24"/>
    </row>
    <row r="1617" spans="7:9" x14ac:dyDescent="0.3">
      <c r="G1617" s="24"/>
      <c r="I1617" s="24"/>
    </row>
    <row r="1618" spans="7:9" x14ac:dyDescent="0.3">
      <c r="G1618" s="24"/>
      <c r="I1618" s="24"/>
    </row>
    <row r="1619" spans="7:9" x14ac:dyDescent="0.3">
      <c r="G1619" s="24"/>
      <c r="I1619" s="24"/>
    </row>
    <row r="1620" spans="7:9" x14ac:dyDescent="0.3">
      <c r="G1620" s="24"/>
      <c r="I1620" s="24"/>
    </row>
    <row r="1621" spans="7:9" x14ac:dyDescent="0.3">
      <c r="G1621" s="24"/>
      <c r="I1621" s="24"/>
    </row>
    <row r="1622" spans="7:9" x14ac:dyDescent="0.3">
      <c r="G1622" s="24"/>
      <c r="I1622" s="24"/>
    </row>
    <row r="1623" spans="7:9" x14ac:dyDescent="0.3">
      <c r="G1623" s="24"/>
      <c r="I1623" s="24"/>
    </row>
    <row r="1624" spans="7:9" x14ac:dyDescent="0.3">
      <c r="G1624" s="24"/>
      <c r="I1624" s="24"/>
    </row>
    <row r="1625" spans="7:9" x14ac:dyDescent="0.3">
      <c r="G1625" s="24"/>
      <c r="I1625" s="24"/>
    </row>
    <row r="1626" spans="7:9" x14ac:dyDescent="0.3">
      <c r="G1626" s="24"/>
      <c r="I1626" s="24"/>
    </row>
    <row r="1627" spans="7:9" x14ac:dyDescent="0.3">
      <c r="G1627" s="24"/>
      <c r="I1627" s="24"/>
    </row>
    <row r="1628" spans="7:9" x14ac:dyDescent="0.3">
      <c r="G1628" s="24"/>
      <c r="I1628" s="24"/>
    </row>
    <row r="1629" spans="7:9" x14ac:dyDescent="0.3">
      <c r="G1629" s="24"/>
      <c r="I1629" s="24"/>
    </row>
    <row r="1630" spans="7:9" x14ac:dyDescent="0.3">
      <c r="G1630" s="24"/>
      <c r="I1630" s="24"/>
    </row>
    <row r="1631" spans="7:9" x14ac:dyDescent="0.3">
      <c r="G1631" s="24"/>
      <c r="I1631" s="24"/>
    </row>
    <row r="1632" spans="7:9" x14ac:dyDescent="0.3">
      <c r="G1632" s="24"/>
      <c r="I1632" s="24"/>
    </row>
    <row r="1633" spans="7:9" x14ac:dyDescent="0.3">
      <c r="G1633" s="24"/>
      <c r="I1633" s="24"/>
    </row>
    <row r="1634" spans="7:9" x14ac:dyDescent="0.3">
      <c r="G1634" s="24"/>
      <c r="I1634" s="24"/>
    </row>
    <row r="1635" spans="7:9" x14ac:dyDescent="0.3">
      <c r="G1635" s="24"/>
      <c r="I1635" s="24"/>
    </row>
    <row r="1636" spans="7:9" x14ac:dyDescent="0.3">
      <c r="G1636" s="24"/>
      <c r="I1636" s="24"/>
    </row>
    <row r="1637" spans="7:9" x14ac:dyDescent="0.3">
      <c r="G1637" s="24"/>
      <c r="I1637" s="24"/>
    </row>
    <row r="1638" spans="7:9" x14ac:dyDescent="0.3">
      <c r="G1638" s="24"/>
      <c r="I1638" s="24"/>
    </row>
    <row r="1639" spans="7:9" x14ac:dyDescent="0.3">
      <c r="G1639" s="24"/>
      <c r="I1639" s="24"/>
    </row>
    <row r="1640" spans="7:9" x14ac:dyDescent="0.3">
      <c r="G1640" s="24"/>
      <c r="I1640" s="24"/>
    </row>
    <row r="1641" spans="7:9" x14ac:dyDescent="0.3">
      <c r="G1641" s="24"/>
      <c r="I1641" s="24"/>
    </row>
    <row r="1642" spans="7:9" x14ac:dyDescent="0.3">
      <c r="G1642" s="24"/>
      <c r="I1642" s="24"/>
    </row>
    <row r="1643" spans="7:9" x14ac:dyDescent="0.3">
      <c r="G1643" s="24"/>
      <c r="I1643" s="24"/>
    </row>
    <row r="1644" spans="7:9" x14ac:dyDescent="0.3">
      <c r="G1644" s="24"/>
      <c r="I1644" s="24"/>
    </row>
    <row r="1645" spans="7:9" x14ac:dyDescent="0.3">
      <c r="G1645" s="24"/>
      <c r="I1645" s="24"/>
    </row>
    <row r="1646" spans="7:9" x14ac:dyDescent="0.3">
      <c r="G1646" s="24"/>
      <c r="I1646" s="24"/>
    </row>
    <row r="1647" spans="7:9" x14ac:dyDescent="0.3">
      <c r="G1647" s="24"/>
      <c r="I1647" s="24"/>
    </row>
    <row r="1648" spans="7:9" x14ac:dyDescent="0.3">
      <c r="G1648" s="24"/>
      <c r="I1648" s="24"/>
    </row>
    <row r="1649" spans="7:9" x14ac:dyDescent="0.3">
      <c r="G1649" s="24"/>
      <c r="I1649" s="24"/>
    </row>
    <row r="1650" spans="7:9" x14ac:dyDescent="0.3">
      <c r="G1650" s="24"/>
      <c r="I1650" s="24"/>
    </row>
    <row r="1651" spans="7:9" x14ac:dyDescent="0.3">
      <c r="G1651" s="24"/>
      <c r="I1651" s="24"/>
    </row>
    <row r="1652" spans="7:9" x14ac:dyDescent="0.3">
      <c r="G1652" s="24"/>
      <c r="I1652" s="24"/>
    </row>
    <row r="1653" spans="7:9" x14ac:dyDescent="0.3">
      <c r="G1653" s="24"/>
      <c r="I1653" s="24"/>
    </row>
    <row r="1654" spans="7:9" x14ac:dyDescent="0.3">
      <c r="G1654" s="24"/>
      <c r="I1654" s="24"/>
    </row>
    <row r="1655" spans="7:9" x14ac:dyDescent="0.3">
      <c r="G1655" s="24"/>
      <c r="I1655" s="24"/>
    </row>
    <row r="1656" spans="7:9" x14ac:dyDescent="0.3">
      <c r="G1656" s="24"/>
      <c r="I1656" s="24"/>
    </row>
    <row r="1657" spans="7:9" x14ac:dyDescent="0.3">
      <c r="G1657" s="24"/>
      <c r="I1657" s="24"/>
    </row>
    <row r="1658" spans="7:9" x14ac:dyDescent="0.3">
      <c r="G1658" s="24"/>
      <c r="I1658" s="24"/>
    </row>
    <row r="1659" spans="7:9" x14ac:dyDescent="0.3">
      <c r="G1659" s="24"/>
      <c r="I1659" s="24"/>
    </row>
    <row r="1660" spans="7:9" x14ac:dyDescent="0.3">
      <c r="G1660" s="24"/>
      <c r="I1660" s="24"/>
    </row>
    <row r="1661" spans="7:9" x14ac:dyDescent="0.3">
      <c r="G1661" s="24"/>
      <c r="I1661" s="24"/>
    </row>
    <row r="1662" spans="7:9" x14ac:dyDescent="0.3">
      <c r="G1662" s="24"/>
      <c r="I1662" s="24"/>
    </row>
    <row r="1663" spans="7:9" x14ac:dyDescent="0.3">
      <c r="G1663" s="24"/>
      <c r="I1663" s="24"/>
    </row>
    <row r="1664" spans="7:9" x14ac:dyDescent="0.3">
      <c r="G1664" s="24"/>
      <c r="I1664" s="24"/>
    </row>
    <row r="1665" spans="7:9" x14ac:dyDescent="0.3">
      <c r="G1665" s="24"/>
      <c r="I1665" s="24"/>
    </row>
    <row r="1666" spans="7:9" x14ac:dyDescent="0.3">
      <c r="G1666" s="24"/>
      <c r="I1666" s="24"/>
    </row>
    <row r="1667" spans="7:9" x14ac:dyDescent="0.3">
      <c r="G1667" s="24"/>
      <c r="I1667" s="24"/>
    </row>
    <row r="1668" spans="7:9" x14ac:dyDescent="0.3">
      <c r="G1668" s="24"/>
      <c r="I1668" s="24"/>
    </row>
    <row r="1669" spans="7:9" x14ac:dyDescent="0.3">
      <c r="G1669" s="24"/>
      <c r="I1669" s="24"/>
    </row>
    <row r="1670" spans="7:9" x14ac:dyDescent="0.3">
      <c r="G1670" s="24"/>
      <c r="I1670" s="24"/>
    </row>
    <row r="1671" spans="7:9" x14ac:dyDescent="0.3">
      <c r="G1671" s="24"/>
      <c r="I1671" s="24"/>
    </row>
    <row r="1672" spans="7:9" x14ac:dyDescent="0.3">
      <c r="G1672" s="24"/>
      <c r="I1672" s="24"/>
    </row>
    <row r="1673" spans="7:9" x14ac:dyDescent="0.3">
      <c r="G1673" s="24"/>
      <c r="I1673" s="24"/>
    </row>
    <row r="1674" spans="7:9" x14ac:dyDescent="0.3">
      <c r="G1674" s="24"/>
      <c r="I1674" s="24"/>
    </row>
    <row r="1675" spans="7:9" x14ac:dyDescent="0.3">
      <c r="G1675" s="24"/>
      <c r="I1675" s="24"/>
    </row>
    <row r="1676" spans="7:9" x14ac:dyDescent="0.3">
      <c r="G1676" s="24"/>
      <c r="I1676" s="24"/>
    </row>
    <row r="1677" spans="7:9" x14ac:dyDescent="0.3">
      <c r="G1677" s="24"/>
      <c r="I1677" s="24"/>
    </row>
    <row r="1678" spans="7:9" x14ac:dyDescent="0.3">
      <c r="G1678" s="24"/>
      <c r="I1678" s="24"/>
    </row>
    <row r="1679" spans="7:9" x14ac:dyDescent="0.3">
      <c r="G1679" s="24"/>
      <c r="I1679" s="24"/>
    </row>
    <row r="1680" spans="7:9" x14ac:dyDescent="0.3">
      <c r="G1680" s="24"/>
      <c r="I1680" s="24"/>
    </row>
    <row r="1681" spans="7:9" x14ac:dyDescent="0.3">
      <c r="G1681" s="24"/>
      <c r="I1681" s="24"/>
    </row>
    <row r="1682" spans="7:9" x14ac:dyDescent="0.3">
      <c r="G1682" s="24"/>
      <c r="I1682" s="24"/>
    </row>
    <row r="1683" spans="7:9" x14ac:dyDescent="0.3">
      <c r="G1683" s="24"/>
      <c r="I1683" s="24"/>
    </row>
    <row r="1684" spans="7:9" x14ac:dyDescent="0.3">
      <c r="G1684" s="24"/>
      <c r="I1684" s="24"/>
    </row>
    <row r="1685" spans="7:9" x14ac:dyDescent="0.3">
      <c r="G1685" s="24"/>
      <c r="I1685" s="24"/>
    </row>
    <row r="1686" spans="7:9" x14ac:dyDescent="0.3">
      <c r="G1686" s="24"/>
      <c r="I1686" s="24"/>
    </row>
    <row r="1687" spans="7:9" x14ac:dyDescent="0.3">
      <c r="G1687" s="24"/>
      <c r="I1687" s="24"/>
    </row>
    <row r="1688" spans="7:9" x14ac:dyDescent="0.3">
      <c r="G1688" s="24"/>
      <c r="I1688" s="24"/>
    </row>
    <row r="1689" spans="7:9" x14ac:dyDescent="0.3">
      <c r="G1689" s="24"/>
      <c r="I1689" s="24"/>
    </row>
    <row r="1690" spans="7:9" x14ac:dyDescent="0.3">
      <c r="G1690" s="24"/>
      <c r="I1690" s="24"/>
    </row>
    <row r="1691" spans="7:9" x14ac:dyDescent="0.3">
      <c r="G1691" s="24"/>
      <c r="I1691" s="24"/>
    </row>
    <row r="1692" spans="7:9" x14ac:dyDescent="0.3">
      <c r="G1692" s="24"/>
      <c r="I1692" s="24"/>
    </row>
    <row r="1693" spans="7:9" x14ac:dyDescent="0.3">
      <c r="G1693" s="24"/>
      <c r="I1693" s="24"/>
    </row>
    <row r="1694" spans="7:9" x14ac:dyDescent="0.3">
      <c r="G1694" s="24"/>
      <c r="I1694" s="24"/>
    </row>
    <row r="1695" spans="7:9" x14ac:dyDescent="0.3">
      <c r="G1695" s="24"/>
      <c r="I1695" s="24"/>
    </row>
    <row r="1696" spans="7:9" x14ac:dyDescent="0.3">
      <c r="G1696" s="24"/>
      <c r="I1696" s="24"/>
    </row>
    <row r="1697" spans="7:9" x14ac:dyDescent="0.3">
      <c r="G1697" s="24"/>
      <c r="I1697" s="24"/>
    </row>
    <row r="1698" spans="7:9" x14ac:dyDescent="0.3">
      <c r="G1698" s="24"/>
      <c r="I1698" s="24"/>
    </row>
    <row r="1699" spans="7:9" x14ac:dyDescent="0.3">
      <c r="G1699" s="24"/>
      <c r="I1699" s="24"/>
    </row>
    <row r="1700" spans="7:9" x14ac:dyDescent="0.3">
      <c r="G1700" s="24"/>
      <c r="I1700" s="24"/>
    </row>
    <row r="1701" spans="7:9" x14ac:dyDescent="0.3">
      <c r="G1701" s="24"/>
      <c r="I1701" s="24"/>
    </row>
    <row r="1702" spans="7:9" x14ac:dyDescent="0.3">
      <c r="G1702" s="24"/>
      <c r="I1702" s="24"/>
    </row>
    <row r="1703" spans="7:9" x14ac:dyDescent="0.3">
      <c r="G1703" s="24"/>
      <c r="I1703" s="24"/>
    </row>
    <row r="1704" spans="7:9" x14ac:dyDescent="0.3">
      <c r="G1704" s="24"/>
      <c r="I1704" s="24"/>
    </row>
    <row r="1705" spans="7:9" x14ac:dyDescent="0.3">
      <c r="G1705" s="24"/>
      <c r="I1705" s="24"/>
    </row>
    <row r="1706" spans="7:9" x14ac:dyDescent="0.3">
      <c r="G1706" s="24"/>
      <c r="I1706" s="24"/>
    </row>
    <row r="1707" spans="7:9" x14ac:dyDescent="0.3">
      <c r="G1707" s="24"/>
      <c r="I1707" s="24"/>
    </row>
    <row r="1708" spans="7:9" x14ac:dyDescent="0.3">
      <c r="G1708" s="24"/>
      <c r="I1708" s="24"/>
    </row>
    <row r="1709" spans="7:9" x14ac:dyDescent="0.3">
      <c r="G1709" s="24"/>
      <c r="I1709" s="24"/>
    </row>
    <row r="1710" spans="7:9" x14ac:dyDescent="0.3">
      <c r="G1710" s="24"/>
      <c r="I1710" s="24"/>
    </row>
    <row r="1711" spans="7:9" x14ac:dyDescent="0.3">
      <c r="G1711" s="24"/>
      <c r="I1711" s="24"/>
    </row>
    <row r="1712" spans="7:9" x14ac:dyDescent="0.3">
      <c r="G1712" s="24"/>
      <c r="I1712" s="24"/>
    </row>
    <row r="1713" spans="7:9" x14ac:dyDescent="0.3">
      <c r="G1713" s="24"/>
      <c r="I1713" s="24"/>
    </row>
    <row r="1714" spans="7:9" x14ac:dyDescent="0.3">
      <c r="G1714" s="24"/>
      <c r="I1714" s="24"/>
    </row>
    <row r="1715" spans="7:9" x14ac:dyDescent="0.3">
      <c r="G1715" s="24"/>
      <c r="I1715" s="24"/>
    </row>
    <row r="1716" spans="7:9" x14ac:dyDescent="0.3">
      <c r="G1716" s="24"/>
      <c r="I1716" s="24"/>
    </row>
    <row r="1717" spans="7:9" x14ac:dyDescent="0.3">
      <c r="G1717" s="24"/>
      <c r="I1717" s="24"/>
    </row>
    <row r="1718" spans="7:9" x14ac:dyDescent="0.3">
      <c r="G1718" s="24"/>
      <c r="I1718" s="24"/>
    </row>
    <row r="1719" spans="7:9" x14ac:dyDescent="0.3">
      <c r="G1719" s="24"/>
      <c r="I1719" s="24"/>
    </row>
    <row r="1720" spans="7:9" x14ac:dyDescent="0.3">
      <c r="G1720" s="24"/>
      <c r="I1720" s="24"/>
    </row>
    <row r="1721" spans="7:9" x14ac:dyDescent="0.3">
      <c r="G1721" s="24"/>
      <c r="I1721" s="24"/>
    </row>
    <row r="1722" spans="7:9" x14ac:dyDescent="0.3">
      <c r="G1722" s="24"/>
      <c r="I1722" s="24"/>
    </row>
    <row r="1723" spans="7:9" x14ac:dyDescent="0.3">
      <c r="G1723" s="24"/>
      <c r="I1723" s="24"/>
    </row>
    <row r="1724" spans="7:9" x14ac:dyDescent="0.3">
      <c r="G1724" s="24"/>
      <c r="I1724" s="24"/>
    </row>
    <row r="1725" spans="7:9" x14ac:dyDescent="0.3">
      <c r="G1725" s="24"/>
      <c r="I1725" s="24"/>
    </row>
    <row r="1726" spans="7:9" x14ac:dyDescent="0.3">
      <c r="G1726" s="24"/>
      <c r="I1726" s="24"/>
    </row>
    <row r="1727" spans="7:9" x14ac:dyDescent="0.3">
      <c r="G1727" s="24"/>
      <c r="I1727" s="24"/>
    </row>
    <row r="1728" spans="7:9" x14ac:dyDescent="0.3">
      <c r="G1728" s="24"/>
      <c r="I1728" s="24"/>
    </row>
    <row r="1729" spans="7:9" x14ac:dyDescent="0.3">
      <c r="G1729" s="24"/>
      <c r="I1729" s="24"/>
    </row>
    <row r="1730" spans="7:9" x14ac:dyDescent="0.3">
      <c r="G1730" s="24"/>
      <c r="I1730" s="24"/>
    </row>
    <row r="1731" spans="7:9" x14ac:dyDescent="0.3">
      <c r="G1731" s="24"/>
      <c r="I1731" s="24"/>
    </row>
    <row r="1732" spans="7:9" x14ac:dyDescent="0.3">
      <c r="G1732" s="24"/>
      <c r="I1732" s="24"/>
    </row>
    <row r="1733" spans="7:9" x14ac:dyDescent="0.3">
      <c r="G1733" s="24"/>
      <c r="I1733" s="24"/>
    </row>
    <row r="1734" spans="7:9" x14ac:dyDescent="0.3">
      <c r="G1734" s="24"/>
      <c r="I1734" s="24"/>
    </row>
    <row r="1735" spans="7:9" x14ac:dyDescent="0.3">
      <c r="G1735" s="24"/>
      <c r="I1735" s="24"/>
    </row>
    <row r="1736" spans="7:9" x14ac:dyDescent="0.3">
      <c r="G1736" s="24"/>
      <c r="I1736" s="24"/>
    </row>
    <row r="1737" spans="7:9" x14ac:dyDescent="0.3">
      <c r="G1737" s="24"/>
      <c r="I1737" s="24"/>
    </row>
    <row r="1738" spans="7:9" x14ac:dyDescent="0.3">
      <c r="G1738" s="24"/>
      <c r="I1738" s="24"/>
    </row>
    <row r="1739" spans="7:9" x14ac:dyDescent="0.3">
      <c r="G1739" s="24"/>
      <c r="I1739" s="24"/>
    </row>
    <row r="1740" spans="7:9" x14ac:dyDescent="0.3">
      <c r="G1740" s="24"/>
      <c r="I1740" s="24"/>
    </row>
    <row r="1741" spans="7:9" x14ac:dyDescent="0.3">
      <c r="G1741" s="24"/>
      <c r="I1741" s="24"/>
    </row>
    <row r="1742" spans="7:9" x14ac:dyDescent="0.3">
      <c r="G1742" s="24"/>
      <c r="I1742" s="24"/>
    </row>
    <row r="1743" spans="7:9" x14ac:dyDescent="0.3">
      <c r="G1743" s="24"/>
      <c r="I1743" s="24"/>
    </row>
    <row r="1744" spans="7:9" x14ac:dyDescent="0.3">
      <c r="G1744" s="24"/>
      <c r="I1744" s="24"/>
    </row>
    <row r="1745" spans="7:9" x14ac:dyDescent="0.3">
      <c r="G1745" s="24"/>
      <c r="I1745" s="24"/>
    </row>
    <row r="1746" spans="7:9" x14ac:dyDescent="0.3">
      <c r="G1746" s="24"/>
      <c r="I1746" s="24"/>
    </row>
    <row r="1747" spans="7:9" x14ac:dyDescent="0.3">
      <c r="G1747" s="24"/>
      <c r="I1747" s="24"/>
    </row>
    <row r="1748" spans="7:9" x14ac:dyDescent="0.3">
      <c r="G1748" s="24"/>
      <c r="I1748" s="24"/>
    </row>
    <row r="1749" spans="7:9" x14ac:dyDescent="0.3">
      <c r="G1749" s="24"/>
      <c r="I1749" s="24"/>
    </row>
    <row r="1750" spans="7:9" x14ac:dyDescent="0.3">
      <c r="G1750" s="24"/>
      <c r="I1750" s="24"/>
    </row>
    <row r="1751" spans="7:9" x14ac:dyDescent="0.3">
      <c r="G1751" s="24"/>
      <c r="I1751" s="24"/>
    </row>
    <row r="1752" spans="7:9" x14ac:dyDescent="0.3">
      <c r="G1752" s="24"/>
      <c r="I1752" s="24"/>
    </row>
    <row r="1753" spans="7:9" x14ac:dyDescent="0.3">
      <c r="G1753" s="24"/>
      <c r="I1753" s="24"/>
    </row>
    <row r="1754" spans="7:9" x14ac:dyDescent="0.3">
      <c r="G1754" s="24"/>
      <c r="I1754" s="24"/>
    </row>
    <row r="1755" spans="7:9" x14ac:dyDescent="0.3">
      <c r="G1755" s="24"/>
      <c r="I1755" s="24"/>
    </row>
    <row r="1756" spans="7:9" x14ac:dyDescent="0.3">
      <c r="G1756" s="24"/>
      <c r="I1756" s="24"/>
    </row>
    <row r="1757" spans="7:9" x14ac:dyDescent="0.3">
      <c r="G1757" s="24"/>
      <c r="I1757" s="24"/>
    </row>
    <row r="1758" spans="7:9" x14ac:dyDescent="0.3">
      <c r="G1758" s="24"/>
      <c r="I1758" s="24"/>
    </row>
    <row r="1759" spans="7:9" x14ac:dyDescent="0.3">
      <c r="G1759" s="24"/>
      <c r="I1759" s="24"/>
    </row>
    <row r="1760" spans="7:9" x14ac:dyDescent="0.3">
      <c r="G1760" s="24"/>
      <c r="I1760" s="24"/>
    </row>
    <row r="1761" spans="7:9" x14ac:dyDescent="0.3">
      <c r="G1761" s="24"/>
      <c r="I1761" s="24"/>
    </row>
    <row r="1762" spans="7:9" x14ac:dyDescent="0.3">
      <c r="G1762" s="24"/>
      <c r="I1762" s="24"/>
    </row>
    <row r="1763" spans="7:9" x14ac:dyDescent="0.3">
      <c r="G1763" s="24"/>
      <c r="I1763" s="24"/>
    </row>
    <row r="1764" spans="7:9" x14ac:dyDescent="0.3">
      <c r="G1764" s="24"/>
      <c r="I1764" s="24"/>
    </row>
    <row r="1765" spans="7:9" x14ac:dyDescent="0.3">
      <c r="G1765" s="24"/>
      <c r="I1765" s="24"/>
    </row>
    <row r="1766" spans="7:9" x14ac:dyDescent="0.3">
      <c r="G1766" s="24"/>
      <c r="I1766" s="24"/>
    </row>
    <row r="1767" spans="7:9" x14ac:dyDescent="0.3">
      <c r="G1767" s="24"/>
      <c r="I1767" s="24"/>
    </row>
    <row r="1768" spans="7:9" x14ac:dyDescent="0.3">
      <c r="G1768" s="24"/>
      <c r="I1768" s="24"/>
    </row>
    <row r="1769" spans="7:9" x14ac:dyDescent="0.3">
      <c r="G1769" s="24"/>
      <c r="I1769" s="24"/>
    </row>
    <row r="1770" spans="7:9" x14ac:dyDescent="0.3">
      <c r="G1770" s="24"/>
      <c r="I1770" s="24"/>
    </row>
    <row r="1771" spans="7:9" x14ac:dyDescent="0.3">
      <c r="G1771" s="24"/>
      <c r="I1771" s="24"/>
    </row>
    <row r="1772" spans="7:9" x14ac:dyDescent="0.3">
      <c r="G1772" s="24"/>
      <c r="I1772" s="24"/>
    </row>
    <row r="1773" spans="7:9" x14ac:dyDescent="0.3">
      <c r="G1773" s="24"/>
      <c r="I1773" s="24"/>
    </row>
    <row r="1774" spans="7:9" x14ac:dyDescent="0.3">
      <c r="G1774" s="24"/>
      <c r="I1774" s="24"/>
    </row>
    <row r="1775" spans="7:9" x14ac:dyDescent="0.3">
      <c r="G1775" s="24"/>
      <c r="I1775" s="24"/>
    </row>
    <row r="1776" spans="7:9" x14ac:dyDescent="0.3">
      <c r="G1776" s="24"/>
      <c r="I1776" s="24"/>
    </row>
    <row r="1777" spans="7:9" x14ac:dyDescent="0.3">
      <c r="G1777" s="24"/>
      <c r="I1777" s="24"/>
    </row>
    <row r="1778" spans="7:9" x14ac:dyDescent="0.3">
      <c r="G1778" s="24"/>
      <c r="I1778" s="24"/>
    </row>
    <row r="1779" spans="7:9" x14ac:dyDescent="0.3">
      <c r="G1779" s="24"/>
      <c r="I1779" s="24"/>
    </row>
    <row r="1780" spans="7:9" x14ac:dyDescent="0.3">
      <c r="G1780" s="24"/>
      <c r="I1780" s="24"/>
    </row>
    <row r="1781" spans="7:9" x14ac:dyDescent="0.3">
      <c r="G1781" s="24"/>
      <c r="I1781" s="24"/>
    </row>
    <row r="1782" spans="7:9" x14ac:dyDescent="0.3">
      <c r="G1782" s="24"/>
      <c r="I1782" s="24"/>
    </row>
    <row r="1783" spans="7:9" x14ac:dyDescent="0.3">
      <c r="G1783" s="24"/>
      <c r="I1783" s="24"/>
    </row>
    <row r="1784" spans="7:9" x14ac:dyDescent="0.3">
      <c r="G1784" s="24"/>
      <c r="I1784" s="24"/>
    </row>
    <row r="1785" spans="7:9" x14ac:dyDescent="0.3">
      <c r="G1785" s="24"/>
      <c r="I1785" s="24"/>
    </row>
    <row r="1786" spans="7:9" x14ac:dyDescent="0.3">
      <c r="G1786" s="24"/>
      <c r="I1786" s="24"/>
    </row>
    <row r="1787" spans="7:9" x14ac:dyDescent="0.3">
      <c r="G1787" s="24"/>
      <c r="I1787" s="24"/>
    </row>
    <row r="1788" spans="7:9" x14ac:dyDescent="0.3">
      <c r="G1788" s="24"/>
      <c r="I1788" s="24"/>
    </row>
    <row r="1789" spans="7:9" x14ac:dyDescent="0.3">
      <c r="G1789" s="24"/>
      <c r="I1789" s="24"/>
    </row>
    <row r="1790" spans="7:9" x14ac:dyDescent="0.3">
      <c r="G1790" s="24"/>
      <c r="I1790" s="24"/>
    </row>
    <row r="1791" spans="7:9" x14ac:dyDescent="0.3">
      <c r="G1791" s="24"/>
      <c r="I1791" s="24"/>
    </row>
    <row r="1792" spans="7:9" x14ac:dyDescent="0.3">
      <c r="G1792" s="24"/>
      <c r="I1792" s="24"/>
    </row>
    <row r="1793" spans="7:9" x14ac:dyDescent="0.3">
      <c r="G1793" s="24"/>
      <c r="I1793" s="24"/>
    </row>
    <row r="1794" spans="7:9" x14ac:dyDescent="0.3">
      <c r="G1794" s="24"/>
      <c r="I1794" s="24"/>
    </row>
    <row r="1795" spans="7:9" x14ac:dyDescent="0.3">
      <c r="G1795" s="24"/>
      <c r="I1795" s="24"/>
    </row>
    <row r="1796" spans="7:9" x14ac:dyDescent="0.3">
      <c r="G1796" s="24"/>
      <c r="I1796" s="24"/>
    </row>
    <row r="1797" spans="7:9" x14ac:dyDescent="0.3">
      <c r="G1797" s="24"/>
      <c r="I1797" s="24"/>
    </row>
    <row r="1798" spans="7:9" x14ac:dyDescent="0.3">
      <c r="G1798" s="24"/>
      <c r="I1798" s="24"/>
    </row>
    <row r="1799" spans="7:9" x14ac:dyDescent="0.3">
      <c r="G1799" s="24"/>
      <c r="I1799" s="24"/>
    </row>
    <row r="1800" spans="7:9" x14ac:dyDescent="0.3">
      <c r="G1800" s="24"/>
      <c r="I1800" s="24"/>
    </row>
    <row r="1801" spans="7:9" x14ac:dyDescent="0.3">
      <c r="G1801" s="24"/>
      <c r="I1801" s="24"/>
    </row>
    <row r="1802" spans="7:9" x14ac:dyDescent="0.3">
      <c r="G1802" s="24"/>
      <c r="I1802" s="24"/>
    </row>
    <row r="1803" spans="7:9" x14ac:dyDescent="0.3">
      <c r="G1803" s="24"/>
      <c r="I1803" s="24"/>
    </row>
    <row r="1804" spans="7:9" x14ac:dyDescent="0.3">
      <c r="G1804" s="24"/>
      <c r="I1804" s="24"/>
    </row>
    <row r="1805" spans="7:9" x14ac:dyDescent="0.3">
      <c r="G1805" s="24"/>
      <c r="I1805" s="24"/>
    </row>
    <row r="1806" spans="7:9" x14ac:dyDescent="0.3">
      <c r="G1806" s="24"/>
      <c r="I1806" s="24"/>
    </row>
    <row r="1807" spans="7:9" x14ac:dyDescent="0.3">
      <c r="G1807" s="24"/>
      <c r="I1807" s="24"/>
    </row>
    <row r="1808" spans="7:9" x14ac:dyDescent="0.3">
      <c r="G1808" s="24"/>
      <c r="I1808" s="24"/>
    </row>
    <row r="1809" spans="7:9" x14ac:dyDescent="0.3">
      <c r="G1809" s="24"/>
      <c r="I1809" s="24"/>
    </row>
    <row r="1810" spans="7:9" x14ac:dyDescent="0.3">
      <c r="G1810" s="24"/>
      <c r="I1810" s="24"/>
    </row>
    <row r="1811" spans="7:9" x14ac:dyDescent="0.3">
      <c r="G1811" s="24"/>
      <c r="I1811" s="24"/>
    </row>
    <row r="1812" spans="7:9" x14ac:dyDescent="0.3">
      <c r="G1812" s="24"/>
      <c r="I1812" s="24"/>
    </row>
    <row r="1813" spans="7:9" x14ac:dyDescent="0.3">
      <c r="G1813" s="24"/>
      <c r="I1813" s="24"/>
    </row>
    <row r="1814" spans="7:9" x14ac:dyDescent="0.3">
      <c r="G1814" s="24"/>
      <c r="I1814" s="24"/>
    </row>
    <row r="1815" spans="7:9" x14ac:dyDescent="0.3">
      <c r="G1815" s="24"/>
      <c r="I1815" s="24"/>
    </row>
    <row r="1816" spans="7:9" x14ac:dyDescent="0.3">
      <c r="G1816" s="24"/>
      <c r="I1816" s="24"/>
    </row>
    <row r="1817" spans="7:9" x14ac:dyDescent="0.3">
      <c r="G1817" s="24"/>
      <c r="I1817" s="24"/>
    </row>
    <row r="1818" spans="7:9" x14ac:dyDescent="0.3">
      <c r="G1818" s="24"/>
      <c r="I1818" s="24"/>
    </row>
    <row r="1819" spans="7:9" x14ac:dyDescent="0.3">
      <c r="G1819" s="24"/>
      <c r="I1819" s="24"/>
    </row>
    <row r="1820" spans="7:9" x14ac:dyDescent="0.3">
      <c r="G1820" s="24"/>
      <c r="I1820" s="24"/>
    </row>
    <row r="1821" spans="7:9" x14ac:dyDescent="0.3">
      <c r="G1821" s="24"/>
      <c r="I1821" s="24"/>
    </row>
    <row r="1822" spans="7:9" x14ac:dyDescent="0.3">
      <c r="G1822" s="24"/>
      <c r="I1822" s="24"/>
    </row>
    <row r="1823" spans="7:9" x14ac:dyDescent="0.3">
      <c r="G1823" s="24"/>
      <c r="I1823" s="24"/>
    </row>
    <row r="1824" spans="7:9" x14ac:dyDescent="0.3">
      <c r="G1824" s="24"/>
      <c r="I1824" s="24"/>
    </row>
    <row r="1825" spans="7:9" x14ac:dyDescent="0.3">
      <c r="G1825" s="24"/>
      <c r="I1825" s="24"/>
    </row>
    <row r="1826" spans="7:9" x14ac:dyDescent="0.3">
      <c r="G1826" s="24"/>
      <c r="I1826" s="24"/>
    </row>
    <row r="1827" spans="7:9" x14ac:dyDescent="0.3">
      <c r="G1827" s="24"/>
      <c r="I1827" s="24"/>
    </row>
    <row r="1828" spans="7:9" x14ac:dyDescent="0.3">
      <c r="G1828" s="24"/>
      <c r="I1828" s="24"/>
    </row>
    <row r="1829" spans="7:9" x14ac:dyDescent="0.3">
      <c r="G1829" s="24"/>
      <c r="I1829" s="24"/>
    </row>
    <row r="1830" spans="7:9" x14ac:dyDescent="0.3">
      <c r="G1830" s="24"/>
      <c r="I1830" s="24"/>
    </row>
    <row r="1831" spans="7:9" x14ac:dyDescent="0.3">
      <c r="G1831" s="24"/>
      <c r="I1831" s="24"/>
    </row>
    <row r="1832" spans="7:9" x14ac:dyDescent="0.3">
      <c r="G1832" s="24"/>
      <c r="I1832" s="24"/>
    </row>
    <row r="1833" spans="7:9" x14ac:dyDescent="0.3">
      <c r="G1833" s="24"/>
      <c r="I1833" s="24"/>
    </row>
    <row r="1834" spans="7:9" x14ac:dyDescent="0.3">
      <c r="G1834" s="24"/>
      <c r="I1834" s="24"/>
    </row>
    <row r="1835" spans="7:9" x14ac:dyDescent="0.3">
      <c r="G1835" s="24"/>
      <c r="I1835" s="24"/>
    </row>
    <row r="1836" spans="7:9" x14ac:dyDescent="0.3">
      <c r="G1836" s="24"/>
      <c r="I1836" s="24"/>
    </row>
    <row r="1837" spans="7:9" x14ac:dyDescent="0.3">
      <c r="G1837" s="24"/>
      <c r="I1837" s="24"/>
    </row>
    <row r="1838" spans="7:9" x14ac:dyDescent="0.3">
      <c r="G1838" s="24"/>
      <c r="I1838" s="24"/>
    </row>
    <row r="1839" spans="7:9" x14ac:dyDescent="0.3">
      <c r="G1839" s="24"/>
      <c r="I1839" s="24"/>
    </row>
    <row r="1840" spans="7:9" x14ac:dyDescent="0.3">
      <c r="G1840" s="24"/>
      <c r="I1840" s="24"/>
    </row>
    <row r="1841" spans="7:9" x14ac:dyDescent="0.3">
      <c r="G1841" s="24"/>
      <c r="I1841" s="24"/>
    </row>
    <row r="1842" spans="7:9" x14ac:dyDescent="0.3">
      <c r="G1842" s="24"/>
      <c r="I1842" s="24"/>
    </row>
    <row r="1843" spans="7:9" x14ac:dyDescent="0.3">
      <c r="G1843" s="24"/>
      <c r="I1843" s="24"/>
    </row>
    <row r="1844" spans="7:9" x14ac:dyDescent="0.3">
      <c r="G1844" s="24"/>
      <c r="I1844" s="24"/>
    </row>
    <row r="1845" spans="7:9" x14ac:dyDescent="0.3">
      <c r="G1845" s="24"/>
      <c r="I1845" s="24"/>
    </row>
    <row r="1846" spans="7:9" x14ac:dyDescent="0.3">
      <c r="G1846" s="24"/>
      <c r="I1846" s="24"/>
    </row>
    <row r="1847" spans="7:9" x14ac:dyDescent="0.3">
      <c r="G1847" s="24"/>
      <c r="I1847" s="24"/>
    </row>
    <row r="1848" spans="7:9" x14ac:dyDescent="0.3">
      <c r="G1848" s="24"/>
      <c r="I1848" s="24"/>
    </row>
    <row r="1849" spans="7:9" x14ac:dyDescent="0.3">
      <c r="G1849" s="24"/>
      <c r="I1849" s="24"/>
    </row>
    <row r="1850" spans="7:9" x14ac:dyDescent="0.3">
      <c r="G1850" s="24"/>
      <c r="I1850" s="24"/>
    </row>
    <row r="1851" spans="7:9" x14ac:dyDescent="0.3">
      <c r="G1851" s="24"/>
      <c r="I1851" s="24"/>
    </row>
    <row r="1852" spans="7:9" x14ac:dyDescent="0.3">
      <c r="G1852" s="24"/>
      <c r="I1852" s="24"/>
    </row>
    <row r="1853" spans="7:9" x14ac:dyDescent="0.3">
      <c r="G1853" s="24"/>
      <c r="I1853" s="24"/>
    </row>
    <row r="1854" spans="7:9" x14ac:dyDescent="0.3">
      <c r="G1854" s="24"/>
      <c r="I1854" s="24"/>
    </row>
    <row r="1855" spans="7:9" x14ac:dyDescent="0.3">
      <c r="G1855" s="24"/>
      <c r="I1855" s="24"/>
    </row>
    <row r="1856" spans="7:9" x14ac:dyDescent="0.3">
      <c r="G1856" s="24"/>
      <c r="I1856" s="24"/>
    </row>
    <row r="1857" spans="7:9" x14ac:dyDescent="0.3">
      <c r="G1857" s="24"/>
      <c r="I1857" s="24"/>
    </row>
    <row r="1858" spans="7:9" x14ac:dyDescent="0.3">
      <c r="G1858" s="24"/>
      <c r="I1858" s="24"/>
    </row>
    <row r="1859" spans="7:9" x14ac:dyDescent="0.3">
      <c r="G1859" s="24"/>
      <c r="I1859" s="24"/>
    </row>
    <row r="1860" spans="7:9" x14ac:dyDescent="0.3">
      <c r="G1860" s="24"/>
      <c r="I1860" s="24"/>
    </row>
    <row r="1861" spans="7:9" x14ac:dyDescent="0.3">
      <c r="G1861" s="24"/>
      <c r="I1861" s="24"/>
    </row>
    <row r="1862" spans="7:9" x14ac:dyDescent="0.3">
      <c r="G1862" s="24"/>
      <c r="I1862" s="24"/>
    </row>
    <row r="1863" spans="7:9" x14ac:dyDescent="0.3">
      <c r="G1863" s="24"/>
      <c r="I1863" s="24"/>
    </row>
    <row r="1864" spans="7:9" x14ac:dyDescent="0.3">
      <c r="G1864" s="24"/>
      <c r="I1864" s="24"/>
    </row>
    <row r="1865" spans="7:9" x14ac:dyDescent="0.3">
      <c r="G1865" s="24"/>
      <c r="I1865" s="24"/>
    </row>
    <row r="1866" spans="7:9" x14ac:dyDescent="0.3">
      <c r="G1866" s="24"/>
      <c r="I1866" s="24"/>
    </row>
    <row r="1867" spans="7:9" x14ac:dyDescent="0.3">
      <c r="G1867" s="24"/>
      <c r="I1867" s="24"/>
    </row>
    <row r="1868" spans="7:9" x14ac:dyDescent="0.3">
      <c r="G1868" s="24"/>
      <c r="I1868" s="24"/>
    </row>
    <row r="1869" spans="7:9" x14ac:dyDescent="0.3">
      <c r="G1869" s="24"/>
      <c r="I1869" s="24"/>
    </row>
    <row r="1870" spans="7:9" x14ac:dyDescent="0.3">
      <c r="G1870" s="24"/>
      <c r="I1870" s="24"/>
    </row>
    <row r="1871" spans="7:9" x14ac:dyDescent="0.3">
      <c r="G1871" s="24"/>
      <c r="I1871" s="24"/>
    </row>
    <row r="1872" spans="7:9" x14ac:dyDescent="0.3">
      <c r="G1872" s="24"/>
      <c r="I1872" s="24"/>
    </row>
    <row r="1873" spans="7:9" x14ac:dyDescent="0.3">
      <c r="G1873" s="24"/>
      <c r="I1873" s="24"/>
    </row>
    <row r="1874" spans="7:9" x14ac:dyDescent="0.3">
      <c r="G1874" s="24"/>
      <c r="I1874" s="24"/>
    </row>
    <row r="1875" spans="7:9" x14ac:dyDescent="0.3">
      <c r="G1875" s="24"/>
      <c r="I1875" s="24"/>
    </row>
    <row r="1876" spans="7:9" x14ac:dyDescent="0.3">
      <c r="G1876" s="24"/>
      <c r="I1876" s="24"/>
    </row>
    <row r="1877" spans="7:9" x14ac:dyDescent="0.3">
      <c r="G1877" s="24"/>
      <c r="I1877" s="24"/>
    </row>
    <row r="1878" spans="7:9" x14ac:dyDescent="0.3">
      <c r="G1878" s="24"/>
      <c r="I1878" s="24"/>
    </row>
    <row r="1879" spans="7:9" x14ac:dyDescent="0.3">
      <c r="G1879" s="24"/>
      <c r="I1879" s="24"/>
    </row>
    <row r="1880" spans="7:9" x14ac:dyDescent="0.3">
      <c r="G1880" s="24"/>
      <c r="I1880" s="24"/>
    </row>
    <row r="1881" spans="7:9" x14ac:dyDescent="0.3">
      <c r="G1881" s="24"/>
      <c r="I1881" s="24"/>
    </row>
    <row r="1882" spans="7:9" x14ac:dyDescent="0.3">
      <c r="G1882" s="24"/>
      <c r="I1882" s="24"/>
    </row>
    <row r="1883" spans="7:9" x14ac:dyDescent="0.3">
      <c r="G1883" s="24"/>
      <c r="I1883" s="24"/>
    </row>
    <row r="1884" spans="7:9" x14ac:dyDescent="0.3">
      <c r="G1884" s="24"/>
      <c r="I1884" s="24"/>
    </row>
    <row r="1885" spans="7:9" x14ac:dyDescent="0.3">
      <c r="G1885" s="24"/>
      <c r="I1885" s="24"/>
    </row>
    <row r="1886" spans="7:9" x14ac:dyDescent="0.3">
      <c r="G1886" s="24"/>
      <c r="I1886" s="24"/>
    </row>
    <row r="1887" spans="7:9" x14ac:dyDescent="0.3">
      <c r="G1887" s="24"/>
      <c r="I1887" s="24"/>
    </row>
    <row r="1888" spans="7:9" x14ac:dyDescent="0.3">
      <c r="G1888" s="24"/>
      <c r="I1888" s="24"/>
    </row>
    <row r="1889" spans="7:9" x14ac:dyDescent="0.3">
      <c r="G1889" s="24"/>
      <c r="I1889" s="24"/>
    </row>
    <row r="1890" spans="7:9" x14ac:dyDescent="0.3">
      <c r="G1890" s="24"/>
      <c r="I1890" s="24"/>
    </row>
    <row r="1891" spans="7:9" x14ac:dyDescent="0.3">
      <c r="G1891" s="24"/>
      <c r="I1891" s="24"/>
    </row>
    <row r="1892" spans="7:9" x14ac:dyDescent="0.3">
      <c r="G1892" s="24"/>
      <c r="I1892" s="24"/>
    </row>
    <row r="1893" spans="7:9" x14ac:dyDescent="0.3">
      <c r="G1893" s="24"/>
      <c r="I1893" s="24"/>
    </row>
    <row r="1894" spans="7:9" x14ac:dyDescent="0.3">
      <c r="G1894" s="24"/>
      <c r="I1894" s="24"/>
    </row>
    <row r="1895" spans="7:9" x14ac:dyDescent="0.3">
      <c r="G1895" s="24"/>
      <c r="I1895" s="24"/>
    </row>
    <row r="1896" spans="7:9" x14ac:dyDescent="0.3">
      <c r="G1896" s="24"/>
      <c r="I1896" s="24"/>
    </row>
    <row r="1897" spans="7:9" x14ac:dyDescent="0.3">
      <c r="G1897" s="24"/>
      <c r="I1897" s="24"/>
    </row>
    <row r="1898" spans="7:9" x14ac:dyDescent="0.3">
      <c r="G1898" s="24"/>
      <c r="I1898" s="24"/>
    </row>
    <row r="1899" spans="7:9" x14ac:dyDescent="0.3">
      <c r="G1899" s="24"/>
      <c r="I1899" s="24"/>
    </row>
    <row r="1900" spans="7:9" x14ac:dyDescent="0.3">
      <c r="G1900" s="24"/>
      <c r="I1900" s="24"/>
    </row>
    <row r="1901" spans="7:9" x14ac:dyDescent="0.3">
      <c r="G1901" s="24"/>
      <c r="I1901" s="24"/>
    </row>
    <row r="1902" spans="7:9" x14ac:dyDescent="0.3">
      <c r="G1902" s="24"/>
      <c r="I1902" s="24"/>
    </row>
    <row r="1903" spans="7:9" x14ac:dyDescent="0.3">
      <c r="G1903" s="24"/>
      <c r="I1903" s="24"/>
    </row>
    <row r="1904" spans="7:9" x14ac:dyDescent="0.3">
      <c r="G1904" s="24"/>
      <c r="I1904" s="24"/>
    </row>
    <row r="1905" spans="7:9" x14ac:dyDescent="0.3">
      <c r="G1905" s="24"/>
      <c r="I1905" s="24"/>
    </row>
    <row r="1906" spans="7:9" x14ac:dyDescent="0.3">
      <c r="G1906" s="24"/>
      <c r="I1906" s="24"/>
    </row>
    <row r="1907" spans="7:9" x14ac:dyDescent="0.3">
      <c r="G1907" s="24"/>
      <c r="I1907" s="24"/>
    </row>
    <row r="1908" spans="7:9" x14ac:dyDescent="0.3">
      <c r="G1908" s="24"/>
      <c r="I1908" s="24"/>
    </row>
    <row r="1909" spans="7:9" x14ac:dyDescent="0.3">
      <c r="G1909" s="24"/>
      <c r="I1909" s="24"/>
    </row>
    <row r="1910" spans="7:9" x14ac:dyDescent="0.3">
      <c r="G1910" s="24"/>
      <c r="I1910" s="24"/>
    </row>
    <row r="1911" spans="7:9" x14ac:dyDescent="0.3">
      <c r="G1911" s="24"/>
      <c r="I1911" s="24"/>
    </row>
    <row r="1912" spans="7:9" x14ac:dyDescent="0.3">
      <c r="G1912" s="24"/>
      <c r="I1912" s="24"/>
    </row>
    <row r="1913" spans="7:9" x14ac:dyDescent="0.3">
      <c r="G1913" s="24"/>
      <c r="I1913" s="24"/>
    </row>
    <row r="1914" spans="7:9" x14ac:dyDescent="0.3">
      <c r="G1914" s="24"/>
      <c r="I1914" s="24"/>
    </row>
    <row r="1915" spans="7:9" x14ac:dyDescent="0.3">
      <c r="G1915" s="24"/>
      <c r="I1915" s="24"/>
    </row>
    <row r="1916" spans="7:9" x14ac:dyDescent="0.3">
      <c r="G1916" s="24"/>
      <c r="I1916" s="24"/>
    </row>
    <row r="1917" spans="7:9" x14ac:dyDescent="0.3">
      <c r="G1917" s="24"/>
      <c r="I1917" s="24"/>
    </row>
    <row r="1918" spans="7:9" x14ac:dyDescent="0.3">
      <c r="G1918" s="24"/>
      <c r="I1918" s="24"/>
    </row>
    <row r="1919" spans="7:9" x14ac:dyDescent="0.3">
      <c r="G1919" s="24"/>
      <c r="I1919" s="24"/>
    </row>
    <row r="1920" spans="7:9" x14ac:dyDescent="0.3">
      <c r="G1920" s="24"/>
      <c r="I1920" s="24"/>
    </row>
    <row r="1921" spans="7:9" x14ac:dyDescent="0.3">
      <c r="G1921" s="24"/>
      <c r="I1921" s="24"/>
    </row>
    <row r="1922" spans="7:9" x14ac:dyDescent="0.3">
      <c r="G1922" s="24"/>
      <c r="I1922" s="24"/>
    </row>
    <row r="1923" spans="7:9" x14ac:dyDescent="0.3">
      <c r="G1923" s="24"/>
      <c r="I1923" s="24"/>
    </row>
    <row r="1924" spans="7:9" x14ac:dyDescent="0.3">
      <c r="G1924" s="24"/>
      <c r="I1924" s="24"/>
    </row>
    <row r="1925" spans="7:9" x14ac:dyDescent="0.3">
      <c r="G1925" s="24"/>
      <c r="I1925" s="24"/>
    </row>
    <row r="1926" spans="7:9" x14ac:dyDescent="0.3">
      <c r="G1926" s="24"/>
      <c r="I1926" s="24"/>
    </row>
    <row r="1927" spans="7:9" x14ac:dyDescent="0.3">
      <c r="G1927" s="24"/>
      <c r="I1927" s="24"/>
    </row>
    <row r="1928" spans="7:9" x14ac:dyDescent="0.3">
      <c r="G1928" s="24"/>
      <c r="I1928" s="24"/>
    </row>
    <row r="1929" spans="7:9" x14ac:dyDescent="0.3">
      <c r="G1929" s="24"/>
      <c r="I1929" s="24"/>
    </row>
    <row r="1930" spans="7:9" x14ac:dyDescent="0.3">
      <c r="G1930" s="24"/>
      <c r="I1930" s="24"/>
    </row>
    <row r="1931" spans="7:9" x14ac:dyDescent="0.3">
      <c r="G1931" s="24"/>
      <c r="I1931" s="24"/>
    </row>
    <row r="1932" spans="7:9" x14ac:dyDescent="0.3">
      <c r="G1932" s="24"/>
      <c r="I1932" s="24"/>
    </row>
    <row r="1933" spans="7:9" x14ac:dyDescent="0.3">
      <c r="G1933" s="24"/>
      <c r="I1933" s="24"/>
    </row>
    <row r="1934" spans="7:9" x14ac:dyDescent="0.3">
      <c r="G1934" s="24"/>
      <c r="I1934" s="24"/>
    </row>
    <row r="1935" spans="7:9" x14ac:dyDescent="0.3">
      <c r="G1935" s="24"/>
      <c r="I1935" s="24"/>
    </row>
    <row r="1936" spans="7:9" x14ac:dyDescent="0.3">
      <c r="G1936" s="24"/>
      <c r="I1936" s="24"/>
    </row>
    <row r="1937" spans="7:9" x14ac:dyDescent="0.3">
      <c r="G1937" s="24"/>
      <c r="I1937" s="24"/>
    </row>
    <row r="1938" spans="7:9" x14ac:dyDescent="0.3">
      <c r="G1938" s="24"/>
      <c r="I1938" s="24"/>
    </row>
    <row r="1939" spans="7:9" x14ac:dyDescent="0.3">
      <c r="G1939" s="24"/>
      <c r="I1939" s="24"/>
    </row>
    <row r="1940" spans="7:9" x14ac:dyDescent="0.3">
      <c r="G1940" s="24"/>
      <c r="I1940" s="24"/>
    </row>
    <row r="1941" spans="7:9" x14ac:dyDescent="0.3">
      <c r="G1941" s="24"/>
      <c r="I1941" s="24"/>
    </row>
    <row r="1942" spans="7:9" x14ac:dyDescent="0.3">
      <c r="G1942" s="24"/>
      <c r="I1942" s="24"/>
    </row>
    <row r="1943" spans="7:9" x14ac:dyDescent="0.3">
      <c r="G1943" s="24"/>
      <c r="I1943" s="24"/>
    </row>
    <row r="1944" spans="7:9" x14ac:dyDescent="0.3">
      <c r="G1944" s="24"/>
      <c r="I1944" s="24"/>
    </row>
    <row r="1945" spans="7:9" x14ac:dyDescent="0.3">
      <c r="G1945" s="24"/>
      <c r="I1945" s="24"/>
    </row>
    <row r="1946" spans="7:9" x14ac:dyDescent="0.3">
      <c r="G1946" s="24"/>
      <c r="I1946" s="24"/>
    </row>
    <row r="1947" spans="7:9" x14ac:dyDescent="0.3">
      <c r="G1947" s="24"/>
      <c r="I1947" s="24"/>
    </row>
    <row r="1948" spans="7:9" x14ac:dyDescent="0.3">
      <c r="G1948" s="24"/>
      <c r="I1948" s="24"/>
    </row>
    <row r="1949" spans="7:9" x14ac:dyDescent="0.3">
      <c r="G1949" s="24"/>
      <c r="I1949" s="24"/>
    </row>
    <row r="1950" spans="7:9" x14ac:dyDescent="0.3">
      <c r="G1950" s="24"/>
      <c r="I1950" s="24"/>
    </row>
    <row r="1951" spans="7:9" x14ac:dyDescent="0.3">
      <c r="G1951" s="24"/>
      <c r="I1951" s="24"/>
    </row>
    <row r="1952" spans="7:9" x14ac:dyDescent="0.3">
      <c r="G1952" s="24"/>
      <c r="I1952" s="24"/>
    </row>
    <row r="1953" spans="7:9" x14ac:dyDescent="0.3">
      <c r="G1953" s="24"/>
      <c r="I1953" s="24"/>
    </row>
    <row r="1954" spans="7:9" x14ac:dyDescent="0.3">
      <c r="G1954" s="24"/>
      <c r="I1954" s="24"/>
    </row>
    <row r="1955" spans="7:9" x14ac:dyDescent="0.3">
      <c r="G1955" s="24"/>
      <c r="I1955" s="24"/>
    </row>
    <row r="1956" spans="7:9" x14ac:dyDescent="0.3">
      <c r="G1956" s="24"/>
      <c r="I1956" s="24"/>
    </row>
    <row r="1957" spans="7:9" x14ac:dyDescent="0.3">
      <c r="G1957" s="24"/>
      <c r="I1957" s="24"/>
    </row>
    <row r="1958" spans="7:9" x14ac:dyDescent="0.3">
      <c r="G1958" s="24"/>
      <c r="I1958" s="24"/>
    </row>
    <row r="1959" spans="7:9" x14ac:dyDescent="0.3">
      <c r="G1959" s="24"/>
      <c r="I1959" s="24"/>
    </row>
    <row r="1960" spans="7:9" x14ac:dyDescent="0.3">
      <c r="G1960" s="24"/>
      <c r="I1960" s="24"/>
    </row>
    <row r="1961" spans="7:9" x14ac:dyDescent="0.3">
      <c r="G1961" s="24"/>
      <c r="I1961" s="24"/>
    </row>
    <row r="1962" spans="7:9" x14ac:dyDescent="0.3">
      <c r="G1962" s="24"/>
      <c r="I1962" s="24"/>
    </row>
    <row r="1963" spans="7:9" x14ac:dyDescent="0.3">
      <c r="G1963" s="24"/>
      <c r="I1963" s="24"/>
    </row>
    <row r="1964" spans="7:9" x14ac:dyDescent="0.3">
      <c r="G1964" s="24"/>
      <c r="I1964" s="24"/>
    </row>
    <row r="1965" spans="7:9" x14ac:dyDescent="0.3">
      <c r="G1965" s="24"/>
      <c r="I1965" s="24"/>
    </row>
    <row r="1966" spans="7:9" x14ac:dyDescent="0.3">
      <c r="G1966" s="24"/>
      <c r="I1966" s="24"/>
    </row>
    <row r="1967" spans="7:9" x14ac:dyDescent="0.3">
      <c r="G1967" s="24"/>
      <c r="I1967" s="24"/>
    </row>
    <row r="1968" spans="7:9" x14ac:dyDescent="0.3">
      <c r="G1968" s="24"/>
      <c r="I1968" s="24"/>
    </row>
    <row r="1969" spans="7:9" x14ac:dyDescent="0.3">
      <c r="G1969" s="24"/>
      <c r="I1969" s="24"/>
    </row>
    <row r="1970" spans="7:9" x14ac:dyDescent="0.3">
      <c r="G1970" s="24"/>
      <c r="I1970" s="24"/>
    </row>
    <row r="1971" spans="7:9" x14ac:dyDescent="0.3">
      <c r="G1971" s="24"/>
      <c r="I1971" s="24"/>
    </row>
    <row r="1972" spans="7:9" x14ac:dyDescent="0.3">
      <c r="G1972" s="24"/>
      <c r="I1972" s="24"/>
    </row>
    <row r="1973" spans="7:9" x14ac:dyDescent="0.3">
      <c r="G1973" s="24"/>
      <c r="I1973" s="24"/>
    </row>
    <row r="1974" spans="7:9" x14ac:dyDescent="0.3">
      <c r="G1974" s="24"/>
      <c r="I1974" s="24"/>
    </row>
    <row r="1975" spans="7:9" x14ac:dyDescent="0.3">
      <c r="G1975" s="24"/>
      <c r="I1975" s="24"/>
    </row>
    <row r="1976" spans="7:9" x14ac:dyDescent="0.3">
      <c r="G1976" s="24"/>
      <c r="I1976" s="24"/>
    </row>
    <row r="1977" spans="7:9" x14ac:dyDescent="0.3">
      <c r="G1977" s="24"/>
      <c r="I1977" s="24"/>
    </row>
    <row r="1978" spans="7:9" x14ac:dyDescent="0.3">
      <c r="G1978" s="24"/>
      <c r="I1978" s="24"/>
    </row>
    <row r="1979" spans="7:9" x14ac:dyDescent="0.3">
      <c r="G1979" s="24"/>
      <c r="I1979" s="24"/>
    </row>
    <row r="1980" spans="7:9" x14ac:dyDescent="0.3">
      <c r="G1980" s="24"/>
      <c r="I1980" s="24"/>
    </row>
    <row r="1981" spans="7:9" x14ac:dyDescent="0.3">
      <c r="G1981" s="24"/>
      <c r="I1981" s="24"/>
    </row>
    <row r="1982" spans="7:9" x14ac:dyDescent="0.3">
      <c r="G1982" s="24"/>
      <c r="I1982" s="24"/>
    </row>
    <row r="1983" spans="7:9" x14ac:dyDescent="0.3">
      <c r="G1983" s="24"/>
      <c r="I1983" s="24"/>
    </row>
    <row r="1984" spans="7:9" x14ac:dyDescent="0.3">
      <c r="G1984" s="24"/>
      <c r="I1984" s="24"/>
    </row>
    <row r="1985" spans="7:9" x14ac:dyDescent="0.3">
      <c r="G1985" s="24"/>
      <c r="I1985" s="24"/>
    </row>
    <row r="1986" spans="7:9" x14ac:dyDescent="0.3">
      <c r="G1986" s="24"/>
      <c r="I1986" s="24"/>
    </row>
    <row r="1987" spans="7:9" x14ac:dyDescent="0.3">
      <c r="G1987" s="24"/>
      <c r="I1987" s="24"/>
    </row>
    <row r="1988" spans="7:9" x14ac:dyDescent="0.3">
      <c r="G1988" s="24"/>
      <c r="I1988" s="24"/>
    </row>
    <row r="1989" spans="7:9" x14ac:dyDescent="0.3">
      <c r="G1989" s="24"/>
      <c r="I1989" s="24"/>
    </row>
    <row r="1990" spans="7:9" x14ac:dyDescent="0.3">
      <c r="G1990" s="24"/>
      <c r="I1990" s="24"/>
    </row>
    <row r="1991" spans="7:9" x14ac:dyDescent="0.3">
      <c r="G1991" s="24"/>
      <c r="I1991" s="24"/>
    </row>
    <row r="1992" spans="7:9" x14ac:dyDescent="0.3">
      <c r="G1992" s="24"/>
      <c r="I1992" s="24"/>
    </row>
    <row r="1993" spans="7:9" x14ac:dyDescent="0.3">
      <c r="G1993" s="24"/>
      <c r="I1993" s="24"/>
    </row>
    <row r="1994" spans="7:9" x14ac:dyDescent="0.3">
      <c r="G1994" s="24"/>
      <c r="I1994" s="24"/>
    </row>
    <row r="1995" spans="7:9" x14ac:dyDescent="0.3">
      <c r="G1995" s="24"/>
      <c r="I1995" s="24"/>
    </row>
    <row r="1996" spans="7:9" x14ac:dyDescent="0.3">
      <c r="G1996" s="24"/>
      <c r="I1996" s="24"/>
    </row>
    <row r="1997" spans="7:9" x14ac:dyDescent="0.3">
      <c r="G1997" s="24"/>
      <c r="I1997" s="24"/>
    </row>
    <row r="1998" spans="7:9" x14ac:dyDescent="0.3">
      <c r="G1998" s="24"/>
      <c r="I1998" s="24"/>
    </row>
    <row r="1999" spans="7:9" x14ac:dyDescent="0.3">
      <c r="G1999" s="24"/>
      <c r="I1999" s="24"/>
    </row>
    <row r="2000" spans="7:9" x14ac:dyDescent="0.3">
      <c r="G2000" s="24"/>
      <c r="I2000" s="24"/>
    </row>
    <row r="2001" spans="7:9" x14ac:dyDescent="0.3">
      <c r="G2001" s="24"/>
      <c r="I2001" s="24"/>
    </row>
    <row r="2002" spans="7:9" x14ac:dyDescent="0.3">
      <c r="G2002" s="24"/>
      <c r="I2002" s="24"/>
    </row>
    <row r="2003" spans="7:9" x14ac:dyDescent="0.3">
      <c r="G2003" s="24"/>
      <c r="I2003" s="24"/>
    </row>
    <row r="2004" spans="7:9" x14ac:dyDescent="0.3">
      <c r="G2004" s="24"/>
      <c r="I2004" s="24"/>
    </row>
    <row r="2005" spans="7:9" x14ac:dyDescent="0.3">
      <c r="G2005" s="24"/>
      <c r="I2005" s="24"/>
    </row>
    <row r="2006" spans="7:9" x14ac:dyDescent="0.3">
      <c r="G2006" s="24"/>
      <c r="I2006" s="24"/>
    </row>
    <row r="2007" spans="7:9" x14ac:dyDescent="0.3">
      <c r="G2007" s="24"/>
      <c r="I2007" s="24"/>
    </row>
    <row r="2008" spans="7:9" x14ac:dyDescent="0.3">
      <c r="G2008" s="24"/>
      <c r="I2008" s="24"/>
    </row>
    <row r="2009" spans="7:9" x14ac:dyDescent="0.3">
      <c r="G2009" s="24"/>
      <c r="I2009" s="24"/>
    </row>
    <row r="2010" spans="7:9" x14ac:dyDescent="0.3">
      <c r="G2010" s="24"/>
      <c r="I2010" s="24"/>
    </row>
    <row r="2011" spans="7:9" x14ac:dyDescent="0.3">
      <c r="G2011" s="24"/>
      <c r="I2011" s="24"/>
    </row>
    <row r="2012" spans="7:9" x14ac:dyDescent="0.3">
      <c r="G2012" s="24"/>
      <c r="I2012" s="24"/>
    </row>
    <row r="2013" spans="7:9" x14ac:dyDescent="0.3">
      <c r="G2013" s="24"/>
      <c r="I2013" s="24"/>
    </row>
    <row r="2014" spans="7:9" x14ac:dyDescent="0.3">
      <c r="G2014" s="24"/>
      <c r="I2014" s="24"/>
    </row>
    <row r="2015" spans="7:9" x14ac:dyDescent="0.3">
      <c r="G2015" s="24"/>
      <c r="I2015" s="24"/>
    </row>
    <row r="2016" spans="7:9" x14ac:dyDescent="0.3">
      <c r="G2016" s="24"/>
      <c r="I2016" s="24"/>
    </row>
    <row r="2017" spans="7:9" x14ac:dyDescent="0.3">
      <c r="G2017" s="24"/>
      <c r="I2017" s="24"/>
    </row>
    <row r="2018" spans="7:9" x14ac:dyDescent="0.3">
      <c r="G2018" s="24"/>
      <c r="I2018" s="24"/>
    </row>
    <row r="2019" spans="7:9" x14ac:dyDescent="0.3">
      <c r="G2019" s="24"/>
      <c r="I2019" s="24"/>
    </row>
    <row r="2020" spans="7:9" x14ac:dyDescent="0.3">
      <c r="G2020" s="24"/>
      <c r="I2020" s="24"/>
    </row>
    <row r="2021" spans="7:9" x14ac:dyDescent="0.3">
      <c r="G2021" s="24"/>
      <c r="I2021" s="24"/>
    </row>
    <row r="2022" spans="7:9" x14ac:dyDescent="0.3">
      <c r="G2022" s="24"/>
      <c r="I2022" s="24"/>
    </row>
    <row r="2023" spans="7:9" x14ac:dyDescent="0.3">
      <c r="G2023" s="24"/>
      <c r="I2023" s="24"/>
    </row>
    <row r="2024" spans="7:9" x14ac:dyDescent="0.3">
      <c r="G2024" s="24"/>
      <c r="I2024" s="24"/>
    </row>
    <row r="2025" spans="7:9" x14ac:dyDescent="0.3">
      <c r="G2025" s="24"/>
      <c r="I2025" s="24"/>
    </row>
    <row r="2026" spans="7:9" x14ac:dyDescent="0.3">
      <c r="G2026" s="24"/>
      <c r="I2026" s="24"/>
    </row>
    <row r="2027" spans="7:9" x14ac:dyDescent="0.3">
      <c r="G2027" s="24"/>
      <c r="I2027" s="24"/>
    </row>
    <row r="2028" spans="7:9" x14ac:dyDescent="0.3">
      <c r="G2028" s="24"/>
      <c r="I2028" s="24"/>
    </row>
    <row r="2029" spans="7:9" x14ac:dyDescent="0.3">
      <c r="G2029" s="24"/>
      <c r="I2029" s="24"/>
    </row>
    <row r="2030" spans="7:9" x14ac:dyDescent="0.3">
      <c r="G2030" s="24"/>
      <c r="I2030" s="24"/>
    </row>
    <row r="2031" spans="7:9" x14ac:dyDescent="0.3">
      <c r="G2031" s="24"/>
      <c r="I2031" s="24"/>
    </row>
    <row r="2032" spans="7:9" x14ac:dyDescent="0.3">
      <c r="G2032" s="24"/>
      <c r="I2032" s="24"/>
    </row>
    <row r="2033" spans="7:9" x14ac:dyDescent="0.3">
      <c r="G2033" s="24"/>
      <c r="I2033" s="24"/>
    </row>
    <row r="2034" spans="7:9" x14ac:dyDescent="0.3">
      <c r="G2034" s="24"/>
      <c r="I2034" s="24"/>
    </row>
    <row r="2035" spans="7:9" x14ac:dyDescent="0.3">
      <c r="G2035" s="24"/>
      <c r="I2035" s="24"/>
    </row>
    <row r="2036" spans="7:9" x14ac:dyDescent="0.3">
      <c r="G2036" s="24"/>
      <c r="I2036" s="24"/>
    </row>
    <row r="2037" spans="7:9" x14ac:dyDescent="0.3">
      <c r="G2037" s="24"/>
      <c r="I2037" s="24"/>
    </row>
    <row r="2038" spans="7:9" x14ac:dyDescent="0.3">
      <c r="G2038" s="24"/>
      <c r="I2038" s="24"/>
    </row>
    <row r="2039" spans="7:9" x14ac:dyDescent="0.3">
      <c r="G2039" s="24"/>
      <c r="I2039" s="24"/>
    </row>
    <row r="2040" spans="7:9" x14ac:dyDescent="0.3">
      <c r="G2040" s="24"/>
      <c r="I2040" s="24"/>
    </row>
    <row r="2041" spans="7:9" x14ac:dyDescent="0.3">
      <c r="G2041" s="24"/>
      <c r="I2041" s="24"/>
    </row>
    <row r="2042" spans="7:9" x14ac:dyDescent="0.3">
      <c r="G2042" s="24"/>
      <c r="I2042" s="24"/>
    </row>
    <row r="2043" spans="7:9" x14ac:dyDescent="0.3">
      <c r="G2043" s="24"/>
      <c r="I2043" s="24"/>
    </row>
    <row r="2044" spans="7:9" x14ac:dyDescent="0.3">
      <c r="G2044" s="24"/>
      <c r="I2044" s="24"/>
    </row>
    <row r="2045" spans="7:9" x14ac:dyDescent="0.3">
      <c r="G2045" s="24"/>
      <c r="I2045" s="24"/>
    </row>
    <row r="2046" spans="7:9" x14ac:dyDescent="0.3">
      <c r="G2046" s="24"/>
      <c r="I2046" s="24"/>
    </row>
    <row r="2047" spans="7:9" x14ac:dyDescent="0.3">
      <c r="G2047" s="24"/>
      <c r="I2047" s="24"/>
    </row>
    <row r="2048" spans="7:9" x14ac:dyDescent="0.3">
      <c r="G2048" s="24"/>
      <c r="I2048" s="24"/>
    </row>
    <row r="2049" spans="7:9" x14ac:dyDescent="0.3">
      <c r="G2049" s="24"/>
      <c r="I2049" s="24"/>
    </row>
    <row r="2050" spans="7:9" x14ac:dyDescent="0.3">
      <c r="G2050" s="24"/>
      <c r="I2050" s="24"/>
    </row>
    <row r="2051" spans="7:9" x14ac:dyDescent="0.3">
      <c r="G2051" s="24"/>
      <c r="I2051" s="24"/>
    </row>
    <row r="2052" spans="7:9" x14ac:dyDescent="0.3">
      <c r="G2052" s="24"/>
      <c r="I2052" s="24"/>
    </row>
    <row r="2053" spans="7:9" x14ac:dyDescent="0.3">
      <c r="G2053" s="24"/>
      <c r="I2053" s="24"/>
    </row>
    <row r="2054" spans="7:9" x14ac:dyDescent="0.3">
      <c r="G2054" s="24"/>
      <c r="I2054" s="24"/>
    </row>
    <row r="2055" spans="7:9" x14ac:dyDescent="0.3">
      <c r="G2055" s="24"/>
      <c r="I2055" s="24"/>
    </row>
    <row r="2056" spans="7:9" x14ac:dyDescent="0.3">
      <c r="G2056" s="24"/>
      <c r="I2056" s="24"/>
    </row>
    <row r="2057" spans="7:9" x14ac:dyDescent="0.3">
      <c r="G2057" s="24"/>
      <c r="I2057" s="24"/>
    </row>
    <row r="2058" spans="7:9" x14ac:dyDescent="0.3">
      <c r="G2058" s="24"/>
      <c r="I2058" s="24"/>
    </row>
    <row r="2059" spans="7:9" x14ac:dyDescent="0.3">
      <c r="G2059" s="24"/>
      <c r="I2059" s="24"/>
    </row>
    <row r="2060" spans="7:9" x14ac:dyDescent="0.3">
      <c r="G2060" s="24"/>
      <c r="I2060" s="24"/>
    </row>
    <row r="2061" spans="7:9" x14ac:dyDescent="0.3">
      <c r="G2061" s="24"/>
      <c r="I2061" s="24"/>
    </row>
    <row r="2062" spans="7:9" x14ac:dyDescent="0.3">
      <c r="G2062" s="24"/>
      <c r="I2062" s="24"/>
    </row>
    <row r="2063" spans="7:9" x14ac:dyDescent="0.3">
      <c r="G2063" s="24"/>
      <c r="I2063" s="24"/>
    </row>
    <row r="2064" spans="7:9" x14ac:dyDescent="0.3">
      <c r="G2064" s="24"/>
      <c r="I2064" s="24"/>
    </row>
    <row r="2065" spans="7:9" x14ac:dyDescent="0.3">
      <c r="G2065" s="24"/>
      <c r="I2065" s="24"/>
    </row>
    <row r="2066" spans="7:9" x14ac:dyDescent="0.3">
      <c r="G2066" s="24"/>
      <c r="I2066" s="24"/>
    </row>
    <row r="2067" spans="7:9" x14ac:dyDescent="0.3">
      <c r="G2067" s="24"/>
      <c r="I2067" s="24"/>
    </row>
    <row r="2068" spans="7:9" x14ac:dyDescent="0.3">
      <c r="G2068" s="24"/>
      <c r="I2068" s="24"/>
    </row>
    <row r="2069" spans="7:9" x14ac:dyDescent="0.3">
      <c r="G2069" s="24"/>
      <c r="I2069" s="24"/>
    </row>
    <row r="2070" spans="7:9" x14ac:dyDescent="0.3">
      <c r="G2070" s="24"/>
      <c r="I2070" s="24"/>
    </row>
    <row r="2071" spans="7:9" x14ac:dyDescent="0.3">
      <c r="G2071" s="24"/>
      <c r="I2071" s="24"/>
    </row>
    <row r="2072" spans="7:9" x14ac:dyDescent="0.3">
      <c r="G2072" s="24"/>
      <c r="I2072" s="24"/>
    </row>
    <row r="2073" spans="7:9" x14ac:dyDescent="0.3">
      <c r="G2073" s="24"/>
      <c r="I2073" s="24"/>
    </row>
    <row r="2074" spans="7:9" x14ac:dyDescent="0.3">
      <c r="G2074" s="24"/>
      <c r="I2074" s="24"/>
    </row>
    <row r="2075" spans="7:9" x14ac:dyDescent="0.3">
      <c r="G2075" s="24"/>
      <c r="I2075" s="24"/>
    </row>
    <row r="2076" spans="7:9" x14ac:dyDescent="0.3">
      <c r="G2076" s="24"/>
      <c r="I2076" s="24"/>
    </row>
    <row r="2077" spans="7:9" x14ac:dyDescent="0.3">
      <c r="G2077" s="24"/>
      <c r="I2077" s="24"/>
    </row>
    <row r="2078" spans="7:9" x14ac:dyDescent="0.3">
      <c r="G2078" s="24"/>
      <c r="I2078" s="24"/>
    </row>
    <row r="2079" spans="7:9" x14ac:dyDescent="0.3">
      <c r="G2079" s="24"/>
      <c r="I2079" s="24"/>
    </row>
    <row r="2080" spans="7:9" x14ac:dyDescent="0.3">
      <c r="G2080" s="24"/>
      <c r="I2080" s="24"/>
    </row>
    <row r="2081" spans="7:9" x14ac:dyDescent="0.3">
      <c r="G2081" s="24"/>
      <c r="I2081" s="24"/>
    </row>
    <row r="2082" spans="7:9" x14ac:dyDescent="0.3">
      <c r="G2082" s="24"/>
      <c r="I2082" s="24"/>
    </row>
    <row r="2083" spans="7:9" x14ac:dyDescent="0.3">
      <c r="G2083" s="24"/>
      <c r="I2083" s="24"/>
    </row>
    <row r="2084" spans="7:9" x14ac:dyDescent="0.3">
      <c r="G2084" s="24"/>
      <c r="I2084" s="24"/>
    </row>
    <row r="2085" spans="7:9" x14ac:dyDescent="0.3">
      <c r="G2085" s="24"/>
      <c r="I2085" s="24"/>
    </row>
    <row r="2086" spans="7:9" x14ac:dyDescent="0.3">
      <c r="G2086" s="24"/>
      <c r="I2086" s="24"/>
    </row>
    <row r="2087" spans="7:9" x14ac:dyDescent="0.3">
      <c r="G2087" s="24"/>
      <c r="I2087" s="24"/>
    </row>
    <row r="2088" spans="7:9" x14ac:dyDescent="0.3">
      <c r="G2088" s="24"/>
      <c r="I2088" s="24"/>
    </row>
    <row r="2089" spans="7:9" x14ac:dyDescent="0.3">
      <c r="G2089" s="24"/>
      <c r="I2089" s="24"/>
    </row>
    <row r="2090" spans="7:9" x14ac:dyDescent="0.3">
      <c r="G2090" s="24"/>
      <c r="I2090" s="24"/>
    </row>
    <row r="2091" spans="7:9" x14ac:dyDescent="0.3">
      <c r="G2091" s="24"/>
      <c r="I2091" s="24"/>
    </row>
    <row r="2092" spans="7:9" x14ac:dyDescent="0.3">
      <c r="G2092" s="24"/>
      <c r="I2092" s="24"/>
    </row>
    <row r="2093" spans="7:9" x14ac:dyDescent="0.3">
      <c r="G2093" s="24"/>
      <c r="I2093" s="24"/>
    </row>
    <row r="2094" spans="7:9" x14ac:dyDescent="0.3">
      <c r="G2094" s="24"/>
      <c r="I2094" s="24"/>
    </row>
    <row r="2095" spans="7:9" x14ac:dyDescent="0.3">
      <c r="G2095" s="24"/>
      <c r="I2095" s="24"/>
    </row>
    <row r="2096" spans="7:9" x14ac:dyDescent="0.3">
      <c r="G2096" s="24"/>
      <c r="I2096" s="24"/>
    </row>
    <row r="2097" spans="7:9" x14ac:dyDescent="0.3">
      <c r="G2097" s="24"/>
      <c r="I2097" s="24"/>
    </row>
    <row r="2098" spans="7:9" x14ac:dyDescent="0.3">
      <c r="G2098" s="24"/>
      <c r="I2098" s="24"/>
    </row>
    <row r="2099" spans="7:9" x14ac:dyDescent="0.3">
      <c r="G2099" s="24"/>
      <c r="I2099" s="24"/>
    </row>
    <row r="2100" spans="7:9" x14ac:dyDescent="0.3">
      <c r="G2100" s="24"/>
      <c r="I2100" s="24"/>
    </row>
    <row r="2101" spans="7:9" x14ac:dyDescent="0.3">
      <c r="G2101" s="24"/>
      <c r="I2101" s="24"/>
    </row>
    <row r="2102" spans="7:9" x14ac:dyDescent="0.3">
      <c r="G2102" s="24"/>
      <c r="I2102" s="24"/>
    </row>
    <row r="2103" spans="7:9" x14ac:dyDescent="0.3">
      <c r="G2103" s="24"/>
      <c r="I2103" s="24"/>
    </row>
    <row r="2104" spans="7:9" x14ac:dyDescent="0.3">
      <c r="G2104" s="24"/>
      <c r="I2104" s="24"/>
    </row>
    <row r="2105" spans="7:9" x14ac:dyDescent="0.3">
      <c r="G2105" s="24"/>
      <c r="I2105" s="24"/>
    </row>
    <row r="2106" spans="7:9" x14ac:dyDescent="0.3">
      <c r="G2106" s="24"/>
      <c r="I2106" s="24"/>
    </row>
    <row r="2107" spans="7:9" x14ac:dyDescent="0.3">
      <c r="G2107" s="24"/>
      <c r="I2107" s="24"/>
    </row>
    <row r="2108" spans="7:9" x14ac:dyDescent="0.3">
      <c r="G2108" s="24"/>
      <c r="I2108" s="24"/>
    </row>
    <row r="2109" spans="7:9" x14ac:dyDescent="0.3">
      <c r="G2109" s="24"/>
      <c r="I2109" s="24"/>
    </row>
    <row r="2110" spans="7:9" x14ac:dyDescent="0.3">
      <c r="G2110" s="24"/>
      <c r="I2110" s="24"/>
    </row>
    <row r="2111" spans="7:9" x14ac:dyDescent="0.3">
      <c r="G2111" s="24"/>
      <c r="I2111" s="24"/>
    </row>
    <row r="2112" spans="7:9" x14ac:dyDescent="0.3">
      <c r="G2112" s="24"/>
      <c r="I2112" s="24"/>
    </row>
    <row r="2113" spans="7:9" x14ac:dyDescent="0.3">
      <c r="G2113" s="24"/>
      <c r="I2113" s="24"/>
    </row>
    <row r="2114" spans="7:9" x14ac:dyDescent="0.3">
      <c r="G2114" s="24"/>
      <c r="I2114" s="24"/>
    </row>
    <row r="2115" spans="7:9" x14ac:dyDescent="0.3">
      <c r="G2115" s="24"/>
      <c r="I2115" s="24"/>
    </row>
    <row r="2116" spans="7:9" x14ac:dyDescent="0.3">
      <c r="G2116" s="24"/>
      <c r="I2116" s="24"/>
    </row>
    <row r="2117" spans="7:9" x14ac:dyDescent="0.3">
      <c r="G2117" s="24"/>
      <c r="I2117" s="24"/>
    </row>
    <row r="2118" spans="7:9" x14ac:dyDescent="0.3">
      <c r="G2118" s="24"/>
      <c r="I2118" s="24"/>
    </row>
    <row r="2119" spans="7:9" x14ac:dyDescent="0.3">
      <c r="G2119" s="24"/>
      <c r="I2119" s="24"/>
    </row>
    <row r="2120" spans="7:9" x14ac:dyDescent="0.3">
      <c r="G2120" s="24"/>
      <c r="I2120" s="24"/>
    </row>
    <row r="2121" spans="7:9" x14ac:dyDescent="0.3">
      <c r="G2121" s="24"/>
      <c r="I2121" s="24"/>
    </row>
    <row r="2122" spans="7:9" x14ac:dyDescent="0.3">
      <c r="G2122" s="24"/>
      <c r="I2122" s="24"/>
    </row>
    <row r="2123" spans="7:9" x14ac:dyDescent="0.3">
      <c r="G2123" s="24"/>
      <c r="I2123" s="24"/>
    </row>
    <row r="2124" spans="7:9" x14ac:dyDescent="0.3">
      <c r="G2124" s="24"/>
      <c r="I2124" s="24"/>
    </row>
    <row r="2125" spans="7:9" x14ac:dyDescent="0.3">
      <c r="G2125" s="24"/>
      <c r="I2125" s="24"/>
    </row>
    <row r="2126" spans="7:9" x14ac:dyDescent="0.3">
      <c r="G2126" s="24"/>
      <c r="I2126" s="24"/>
    </row>
    <row r="2127" spans="7:9" x14ac:dyDescent="0.3">
      <c r="G2127" s="24"/>
      <c r="I2127" s="24"/>
    </row>
    <row r="2128" spans="7:9" x14ac:dyDescent="0.3">
      <c r="G2128" s="24"/>
      <c r="I2128" s="24"/>
    </row>
    <row r="2129" spans="7:9" x14ac:dyDescent="0.3">
      <c r="G2129" s="24"/>
      <c r="I2129" s="24"/>
    </row>
    <row r="2130" spans="7:9" x14ac:dyDescent="0.3">
      <c r="G2130" s="24"/>
      <c r="I2130" s="24"/>
    </row>
    <row r="2131" spans="7:9" x14ac:dyDescent="0.3">
      <c r="G2131" s="24"/>
      <c r="I2131" s="24"/>
    </row>
    <row r="2132" spans="7:9" x14ac:dyDescent="0.3">
      <c r="G2132" s="24"/>
      <c r="I2132" s="24"/>
    </row>
    <row r="2133" spans="7:9" x14ac:dyDescent="0.3">
      <c r="G2133" s="24"/>
      <c r="I2133" s="24"/>
    </row>
    <row r="2134" spans="7:9" x14ac:dyDescent="0.3">
      <c r="G2134" s="24"/>
      <c r="I2134" s="24"/>
    </row>
    <row r="2135" spans="7:9" x14ac:dyDescent="0.3">
      <c r="G2135" s="24"/>
      <c r="I2135" s="24"/>
    </row>
    <row r="2136" spans="7:9" x14ac:dyDescent="0.3">
      <c r="G2136" s="24"/>
      <c r="I2136" s="24"/>
    </row>
    <row r="2137" spans="7:9" x14ac:dyDescent="0.3">
      <c r="G2137" s="24"/>
      <c r="I2137" s="24"/>
    </row>
    <row r="2138" spans="7:9" x14ac:dyDescent="0.3">
      <c r="G2138" s="24"/>
      <c r="I2138" s="24"/>
    </row>
    <row r="2139" spans="7:9" x14ac:dyDescent="0.3">
      <c r="G2139" s="24"/>
      <c r="I2139" s="24"/>
    </row>
    <row r="2140" spans="7:9" x14ac:dyDescent="0.3">
      <c r="G2140" s="24"/>
      <c r="I2140" s="24"/>
    </row>
    <row r="2141" spans="7:9" x14ac:dyDescent="0.3">
      <c r="G2141" s="24"/>
      <c r="I2141" s="24"/>
    </row>
    <row r="2142" spans="7:9" x14ac:dyDescent="0.3">
      <c r="G2142" s="24"/>
      <c r="I2142" s="24"/>
    </row>
    <row r="2143" spans="7:9" x14ac:dyDescent="0.3">
      <c r="G2143" s="24"/>
      <c r="I2143" s="24"/>
    </row>
    <row r="2144" spans="7:9" x14ac:dyDescent="0.3">
      <c r="G2144" s="24"/>
      <c r="I2144" s="24"/>
    </row>
    <row r="2145" spans="7:9" x14ac:dyDescent="0.3">
      <c r="G2145" s="24"/>
      <c r="I2145" s="24"/>
    </row>
    <row r="2146" spans="7:9" x14ac:dyDescent="0.3">
      <c r="G2146" s="24"/>
      <c r="I2146" s="24"/>
    </row>
    <row r="2147" spans="7:9" x14ac:dyDescent="0.3">
      <c r="G2147" s="24"/>
      <c r="I2147" s="24"/>
    </row>
    <row r="2148" spans="7:9" x14ac:dyDescent="0.3">
      <c r="G2148" s="24"/>
      <c r="I2148" s="24"/>
    </row>
    <row r="2149" spans="7:9" x14ac:dyDescent="0.3">
      <c r="G2149" s="24"/>
      <c r="I2149" s="24"/>
    </row>
    <row r="2150" spans="7:9" x14ac:dyDescent="0.3">
      <c r="G2150" s="24"/>
      <c r="I2150" s="24"/>
    </row>
    <row r="2151" spans="7:9" x14ac:dyDescent="0.3">
      <c r="G2151" s="24"/>
      <c r="I2151" s="24"/>
    </row>
    <row r="2152" spans="7:9" x14ac:dyDescent="0.3">
      <c r="G2152" s="24"/>
      <c r="I2152" s="24"/>
    </row>
    <row r="2153" spans="7:9" x14ac:dyDescent="0.3">
      <c r="G2153" s="24"/>
      <c r="I2153" s="24"/>
    </row>
    <row r="2154" spans="7:9" x14ac:dyDescent="0.3">
      <c r="G2154" s="24"/>
      <c r="I2154" s="24"/>
    </row>
    <row r="2155" spans="7:9" x14ac:dyDescent="0.3">
      <c r="G2155" s="24"/>
      <c r="I2155" s="24"/>
    </row>
    <row r="2156" spans="7:9" x14ac:dyDescent="0.3">
      <c r="G2156" s="24"/>
      <c r="I2156" s="24"/>
    </row>
    <row r="2157" spans="7:9" x14ac:dyDescent="0.3">
      <c r="G2157" s="24"/>
      <c r="I2157" s="24"/>
    </row>
    <row r="2158" spans="7:9" x14ac:dyDescent="0.3">
      <c r="G2158" s="24"/>
      <c r="I2158" s="24"/>
    </row>
    <row r="2159" spans="7:9" x14ac:dyDescent="0.3">
      <c r="G2159" s="24"/>
      <c r="I2159" s="24"/>
    </row>
    <row r="2160" spans="7:9" x14ac:dyDescent="0.3">
      <c r="G2160" s="24"/>
      <c r="I2160" s="24"/>
    </row>
    <row r="2161" spans="7:9" x14ac:dyDescent="0.3">
      <c r="G2161" s="24"/>
      <c r="I2161" s="24"/>
    </row>
    <row r="2162" spans="7:9" x14ac:dyDescent="0.3">
      <c r="G2162" s="24"/>
      <c r="I2162" s="24"/>
    </row>
    <row r="2163" spans="7:9" x14ac:dyDescent="0.3">
      <c r="G2163" s="24"/>
      <c r="I2163" s="24"/>
    </row>
    <row r="2164" spans="7:9" x14ac:dyDescent="0.3">
      <c r="G2164" s="24"/>
      <c r="I2164" s="24"/>
    </row>
    <row r="2165" spans="7:9" x14ac:dyDescent="0.3">
      <c r="G2165" s="24"/>
      <c r="I2165" s="24"/>
    </row>
    <row r="2166" spans="7:9" x14ac:dyDescent="0.3">
      <c r="G2166" s="24"/>
      <c r="I2166" s="24"/>
    </row>
    <row r="2167" spans="7:9" x14ac:dyDescent="0.3">
      <c r="G2167" s="24"/>
      <c r="I2167" s="24"/>
    </row>
    <row r="2168" spans="7:9" x14ac:dyDescent="0.3">
      <c r="G2168" s="24"/>
      <c r="I2168" s="24"/>
    </row>
    <row r="2169" spans="7:9" x14ac:dyDescent="0.3">
      <c r="G2169" s="24"/>
      <c r="I2169" s="24"/>
    </row>
    <row r="2170" spans="7:9" x14ac:dyDescent="0.3">
      <c r="G2170" s="24"/>
      <c r="I2170" s="24"/>
    </row>
    <row r="2171" spans="7:9" x14ac:dyDescent="0.3">
      <c r="G2171" s="24"/>
      <c r="I2171" s="24"/>
    </row>
    <row r="2172" spans="7:9" x14ac:dyDescent="0.3">
      <c r="G2172" s="24"/>
      <c r="I2172" s="24"/>
    </row>
    <row r="2173" spans="7:9" x14ac:dyDescent="0.3">
      <c r="G2173" s="24"/>
      <c r="I2173" s="24"/>
    </row>
    <row r="2174" spans="7:9" x14ac:dyDescent="0.3">
      <c r="G2174" s="24"/>
      <c r="I2174" s="24"/>
    </row>
    <row r="2175" spans="7:9" x14ac:dyDescent="0.3">
      <c r="G2175" s="24"/>
      <c r="I2175" s="24"/>
    </row>
    <row r="2176" spans="7:9" x14ac:dyDescent="0.3">
      <c r="G2176" s="24"/>
      <c r="I2176" s="24"/>
    </row>
    <row r="2177" spans="7:9" x14ac:dyDescent="0.3">
      <c r="G2177" s="24"/>
      <c r="I2177" s="24"/>
    </row>
    <row r="2178" spans="7:9" x14ac:dyDescent="0.3">
      <c r="G2178" s="24"/>
      <c r="I2178" s="24"/>
    </row>
    <row r="2179" spans="7:9" x14ac:dyDescent="0.3">
      <c r="G2179" s="24"/>
      <c r="I2179" s="24"/>
    </row>
    <row r="2180" spans="7:9" x14ac:dyDescent="0.3">
      <c r="G2180" s="24"/>
      <c r="I2180" s="24"/>
    </row>
    <row r="2181" spans="7:9" x14ac:dyDescent="0.3">
      <c r="G2181" s="24"/>
      <c r="I2181" s="24"/>
    </row>
    <row r="2182" spans="7:9" x14ac:dyDescent="0.3">
      <c r="G2182" s="24"/>
      <c r="I2182" s="24"/>
    </row>
    <row r="2183" spans="7:9" x14ac:dyDescent="0.3">
      <c r="G2183" s="24"/>
      <c r="I2183" s="24"/>
    </row>
    <row r="2184" spans="7:9" x14ac:dyDescent="0.3">
      <c r="G2184" s="24"/>
      <c r="I2184" s="24"/>
    </row>
    <row r="2185" spans="7:9" x14ac:dyDescent="0.3">
      <c r="G2185" s="24"/>
      <c r="I2185" s="24"/>
    </row>
    <row r="2186" spans="7:9" x14ac:dyDescent="0.3">
      <c r="G2186" s="24"/>
      <c r="I2186" s="24"/>
    </row>
    <row r="2187" spans="7:9" x14ac:dyDescent="0.3">
      <c r="G2187" s="24"/>
      <c r="I2187" s="24"/>
    </row>
    <row r="2188" spans="7:9" x14ac:dyDescent="0.3">
      <c r="G2188" s="24"/>
      <c r="I2188" s="24"/>
    </row>
    <row r="2189" spans="7:9" x14ac:dyDescent="0.3">
      <c r="G2189" s="24"/>
      <c r="I2189" s="24"/>
    </row>
    <row r="2190" spans="7:9" x14ac:dyDescent="0.3">
      <c r="G2190" s="24"/>
      <c r="I2190" s="24"/>
    </row>
    <row r="2191" spans="7:9" x14ac:dyDescent="0.3">
      <c r="G2191" s="24"/>
      <c r="I2191" s="24"/>
    </row>
    <row r="2192" spans="7:9" x14ac:dyDescent="0.3">
      <c r="G2192" s="24"/>
      <c r="I2192" s="24"/>
    </row>
    <row r="2193" spans="7:9" x14ac:dyDescent="0.3">
      <c r="G2193" s="24"/>
      <c r="I2193" s="24"/>
    </row>
    <row r="2194" spans="7:9" x14ac:dyDescent="0.3">
      <c r="G2194" s="24"/>
      <c r="I2194" s="24"/>
    </row>
    <row r="2195" spans="7:9" x14ac:dyDescent="0.3">
      <c r="G2195" s="24"/>
      <c r="I2195" s="24"/>
    </row>
    <row r="2196" spans="7:9" x14ac:dyDescent="0.3">
      <c r="G2196" s="24"/>
      <c r="I2196" s="24"/>
    </row>
    <row r="2197" spans="7:9" x14ac:dyDescent="0.3">
      <c r="G2197" s="24"/>
      <c r="I2197" s="24"/>
    </row>
    <row r="2198" spans="7:9" x14ac:dyDescent="0.3">
      <c r="G2198" s="24"/>
      <c r="I2198" s="24"/>
    </row>
    <row r="2199" spans="7:9" x14ac:dyDescent="0.3">
      <c r="G2199" s="24"/>
      <c r="I2199" s="24"/>
    </row>
    <row r="2200" spans="7:9" x14ac:dyDescent="0.3">
      <c r="G2200" s="24"/>
      <c r="I2200" s="24"/>
    </row>
    <row r="2201" spans="7:9" x14ac:dyDescent="0.3">
      <c r="G2201" s="24"/>
      <c r="I2201" s="24"/>
    </row>
    <row r="2202" spans="7:9" x14ac:dyDescent="0.3">
      <c r="G2202" s="24"/>
      <c r="I2202" s="24"/>
    </row>
    <row r="2203" spans="7:9" x14ac:dyDescent="0.3">
      <c r="G2203" s="24"/>
      <c r="I2203" s="24"/>
    </row>
    <row r="2204" spans="7:9" x14ac:dyDescent="0.3">
      <c r="G2204" s="24"/>
      <c r="I2204" s="24"/>
    </row>
    <row r="2205" spans="7:9" x14ac:dyDescent="0.3">
      <c r="G2205" s="24"/>
      <c r="I2205" s="24"/>
    </row>
    <row r="2206" spans="7:9" x14ac:dyDescent="0.3">
      <c r="G2206" s="24"/>
      <c r="I2206" s="24"/>
    </row>
    <row r="2207" spans="7:9" x14ac:dyDescent="0.3">
      <c r="G2207" s="24"/>
      <c r="I2207" s="24"/>
    </row>
    <row r="2208" spans="7:9" x14ac:dyDescent="0.3">
      <c r="G2208" s="24"/>
      <c r="I2208" s="24"/>
    </row>
    <row r="2209" spans="7:9" x14ac:dyDescent="0.3">
      <c r="G2209" s="24"/>
      <c r="I2209" s="24"/>
    </row>
    <row r="2210" spans="7:9" x14ac:dyDescent="0.3">
      <c r="G2210" s="24"/>
      <c r="I2210" s="24"/>
    </row>
    <row r="2211" spans="7:9" x14ac:dyDescent="0.3">
      <c r="G2211" s="24"/>
      <c r="I2211" s="24"/>
    </row>
    <row r="2212" spans="7:9" x14ac:dyDescent="0.3">
      <c r="G2212" s="24"/>
      <c r="I2212" s="24"/>
    </row>
    <row r="2213" spans="7:9" x14ac:dyDescent="0.3">
      <c r="G2213" s="24"/>
      <c r="I2213" s="24"/>
    </row>
    <row r="2214" spans="7:9" x14ac:dyDescent="0.3">
      <c r="G2214" s="24"/>
      <c r="I2214" s="24"/>
    </row>
    <row r="2215" spans="7:9" x14ac:dyDescent="0.3">
      <c r="G2215" s="24"/>
      <c r="I2215" s="24"/>
    </row>
    <row r="2216" spans="7:9" x14ac:dyDescent="0.3">
      <c r="G2216" s="24"/>
      <c r="I2216" s="24"/>
    </row>
    <row r="2217" spans="7:9" x14ac:dyDescent="0.3">
      <c r="G2217" s="24"/>
      <c r="I2217" s="24"/>
    </row>
    <row r="2218" spans="7:9" x14ac:dyDescent="0.3">
      <c r="G2218" s="24"/>
      <c r="I2218" s="24"/>
    </row>
    <row r="2219" spans="7:9" x14ac:dyDescent="0.3">
      <c r="G2219" s="24"/>
      <c r="I2219" s="24"/>
    </row>
    <row r="2220" spans="7:9" x14ac:dyDescent="0.3">
      <c r="G2220" s="24"/>
      <c r="I2220" s="24"/>
    </row>
    <row r="2221" spans="7:9" x14ac:dyDescent="0.3">
      <c r="G2221" s="24"/>
      <c r="I2221" s="24"/>
    </row>
    <row r="2222" spans="7:9" x14ac:dyDescent="0.3">
      <c r="G2222" s="24"/>
      <c r="I2222" s="24"/>
    </row>
    <row r="2223" spans="7:9" x14ac:dyDescent="0.3">
      <c r="G2223" s="24"/>
      <c r="I2223" s="24"/>
    </row>
    <row r="2224" spans="7:9" x14ac:dyDescent="0.3">
      <c r="G2224" s="24"/>
      <c r="I2224" s="24"/>
    </row>
    <row r="2225" spans="7:9" x14ac:dyDescent="0.3">
      <c r="G2225" s="24"/>
      <c r="I2225" s="24"/>
    </row>
    <row r="2226" spans="7:9" x14ac:dyDescent="0.3">
      <c r="G2226" s="24"/>
      <c r="I2226" s="24"/>
    </row>
    <row r="2227" spans="7:9" x14ac:dyDescent="0.3">
      <c r="G2227" s="24"/>
      <c r="I2227" s="24"/>
    </row>
    <row r="2228" spans="7:9" x14ac:dyDescent="0.3">
      <c r="G2228" s="24"/>
      <c r="I2228" s="24"/>
    </row>
    <row r="2229" spans="7:9" x14ac:dyDescent="0.3">
      <c r="G2229" s="24"/>
      <c r="I2229" s="24"/>
    </row>
    <row r="2230" spans="7:9" x14ac:dyDescent="0.3">
      <c r="G2230" s="24"/>
      <c r="I2230" s="24"/>
    </row>
    <row r="2231" spans="7:9" x14ac:dyDescent="0.3">
      <c r="G2231" s="24"/>
      <c r="I2231" s="24"/>
    </row>
    <row r="2232" spans="7:9" x14ac:dyDescent="0.3">
      <c r="G2232" s="24"/>
      <c r="I2232" s="24"/>
    </row>
    <row r="2233" spans="7:9" x14ac:dyDescent="0.3">
      <c r="G2233" s="24"/>
      <c r="I2233" s="24"/>
    </row>
    <row r="2234" spans="7:9" x14ac:dyDescent="0.3">
      <c r="G2234" s="24"/>
      <c r="I2234" s="24"/>
    </row>
    <row r="2235" spans="7:9" x14ac:dyDescent="0.3">
      <c r="G2235" s="24"/>
      <c r="I2235" s="24"/>
    </row>
    <row r="2236" spans="7:9" x14ac:dyDescent="0.3">
      <c r="G2236" s="24"/>
      <c r="I2236" s="24"/>
    </row>
    <row r="2237" spans="7:9" x14ac:dyDescent="0.3">
      <c r="G2237" s="24"/>
      <c r="I2237" s="24"/>
    </row>
    <row r="2238" spans="7:9" x14ac:dyDescent="0.3">
      <c r="G2238" s="24"/>
      <c r="I2238" s="24"/>
    </row>
    <row r="2239" spans="7:9" x14ac:dyDescent="0.3">
      <c r="G2239" s="24"/>
      <c r="I2239" s="24"/>
    </row>
    <row r="2240" spans="7:9" x14ac:dyDescent="0.3">
      <c r="G2240" s="24"/>
      <c r="I2240" s="24"/>
    </row>
    <row r="2241" spans="7:9" x14ac:dyDescent="0.3">
      <c r="G2241" s="24"/>
      <c r="I2241" s="24"/>
    </row>
    <row r="2242" spans="7:9" x14ac:dyDescent="0.3">
      <c r="G2242" s="24"/>
      <c r="I2242" s="24"/>
    </row>
    <row r="2243" spans="7:9" x14ac:dyDescent="0.3">
      <c r="G2243" s="24"/>
      <c r="I2243" s="24"/>
    </row>
    <row r="2244" spans="7:9" x14ac:dyDescent="0.3">
      <c r="G2244" s="24"/>
      <c r="I2244" s="24"/>
    </row>
    <row r="2245" spans="7:9" x14ac:dyDescent="0.3">
      <c r="G2245" s="24"/>
      <c r="I2245" s="24"/>
    </row>
    <row r="2246" spans="7:9" x14ac:dyDescent="0.3">
      <c r="G2246" s="24"/>
      <c r="I2246" s="24"/>
    </row>
    <row r="2247" spans="7:9" x14ac:dyDescent="0.3">
      <c r="G2247" s="24"/>
      <c r="I2247" s="24"/>
    </row>
    <row r="2248" spans="7:9" x14ac:dyDescent="0.3">
      <c r="G2248" s="24"/>
      <c r="I2248" s="24"/>
    </row>
    <row r="2249" spans="7:9" x14ac:dyDescent="0.3">
      <c r="G2249" s="24"/>
      <c r="I2249" s="24"/>
    </row>
    <row r="2250" spans="7:9" x14ac:dyDescent="0.3">
      <c r="G2250" s="24"/>
      <c r="I2250" s="24"/>
    </row>
    <row r="2251" spans="7:9" x14ac:dyDescent="0.3">
      <c r="G2251" s="24"/>
      <c r="I2251" s="24"/>
    </row>
    <row r="2252" spans="7:9" x14ac:dyDescent="0.3">
      <c r="G2252" s="24"/>
      <c r="I2252" s="24"/>
    </row>
    <row r="2253" spans="7:9" x14ac:dyDescent="0.3">
      <c r="G2253" s="24"/>
      <c r="I2253" s="24"/>
    </row>
    <row r="2254" spans="7:9" x14ac:dyDescent="0.3">
      <c r="G2254" s="24"/>
      <c r="I2254" s="24"/>
    </row>
    <row r="2255" spans="7:9" x14ac:dyDescent="0.3">
      <c r="G2255" s="24"/>
      <c r="I2255" s="24"/>
    </row>
    <row r="2256" spans="7:9" x14ac:dyDescent="0.3">
      <c r="G2256" s="24"/>
      <c r="I2256" s="24"/>
    </row>
    <row r="2257" spans="7:9" x14ac:dyDescent="0.3">
      <c r="G2257" s="24"/>
      <c r="I2257" s="24"/>
    </row>
    <row r="2258" spans="7:9" x14ac:dyDescent="0.3">
      <c r="G2258" s="24"/>
      <c r="I2258" s="24"/>
    </row>
    <row r="2259" spans="7:9" x14ac:dyDescent="0.3">
      <c r="G2259" s="24"/>
      <c r="I2259" s="24"/>
    </row>
    <row r="2260" spans="7:9" x14ac:dyDescent="0.3">
      <c r="G2260" s="24"/>
      <c r="I2260" s="24"/>
    </row>
    <row r="2261" spans="7:9" x14ac:dyDescent="0.3">
      <c r="G2261" s="24"/>
      <c r="I2261" s="24"/>
    </row>
    <row r="2262" spans="7:9" x14ac:dyDescent="0.3">
      <c r="G2262" s="24"/>
      <c r="I2262" s="24"/>
    </row>
    <row r="2263" spans="7:9" x14ac:dyDescent="0.3">
      <c r="G2263" s="24"/>
      <c r="I2263" s="24"/>
    </row>
    <row r="2264" spans="7:9" x14ac:dyDescent="0.3">
      <c r="G2264" s="24"/>
      <c r="I2264" s="24"/>
    </row>
    <row r="2265" spans="7:9" x14ac:dyDescent="0.3">
      <c r="G2265" s="24"/>
      <c r="I2265" s="24"/>
    </row>
    <row r="2266" spans="7:9" x14ac:dyDescent="0.3">
      <c r="G2266" s="24"/>
      <c r="I2266" s="24"/>
    </row>
    <row r="2267" spans="7:9" x14ac:dyDescent="0.3">
      <c r="G2267" s="24"/>
      <c r="I2267" s="24"/>
    </row>
    <row r="2268" spans="7:9" x14ac:dyDescent="0.3">
      <c r="G2268" s="24"/>
      <c r="I2268" s="24"/>
    </row>
    <row r="2269" spans="7:9" x14ac:dyDescent="0.3">
      <c r="G2269" s="24"/>
      <c r="I2269" s="24"/>
    </row>
    <row r="2270" spans="7:9" x14ac:dyDescent="0.3">
      <c r="G2270" s="24"/>
      <c r="I2270" s="24"/>
    </row>
    <row r="2271" spans="7:9" x14ac:dyDescent="0.3">
      <c r="G2271" s="24"/>
      <c r="I2271" s="24"/>
    </row>
    <row r="2272" spans="7:9" x14ac:dyDescent="0.3">
      <c r="G2272" s="24"/>
      <c r="I2272" s="24"/>
    </row>
    <row r="2273" spans="7:9" x14ac:dyDescent="0.3">
      <c r="G2273" s="24"/>
      <c r="I2273" s="24"/>
    </row>
    <row r="2274" spans="7:9" x14ac:dyDescent="0.3">
      <c r="G2274" s="24"/>
      <c r="I2274" s="24"/>
    </row>
    <row r="2275" spans="7:9" x14ac:dyDescent="0.3">
      <c r="G2275" s="24"/>
      <c r="I2275" s="24"/>
    </row>
    <row r="2276" spans="7:9" x14ac:dyDescent="0.3">
      <c r="G2276" s="24"/>
      <c r="I2276" s="24"/>
    </row>
    <row r="2277" spans="7:9" x14ac:dyDescent="0.3">
      <c r="G2277" s="24"/>
      <c r="I2277" s="24"/>
    </row>
    <row r="2278" spans="7:9" x14ac:dyDescent="0.3">
      <c r="G2278" s="24"/>
      <c r="I2278" s="24"/>
    </row>
    <row r="2279" spans="7:9" x14ac:dyDescent="0.3">
      <c r="G2279" s="24"/>
      <c r="I2279" s="24"/>
    </row>
    <row r="2280" spans="7:9" x14ac:dyDescent="0.3">
      <c r="G2280" s="24"/>
      <c r="I2280" s="24"/>
    </row>
    <row r="2281" spans="7:9" x14ac:dyDescent="0.3">
      <c r="G2281" s="24"/>
      <c r="I2281" s="24"/>
    </row>
    <row r="2282" spans="7:9" x14ac:dyDescent="0.3">
      <c r="G2282" s="24"/>
      <c r="I2282" s="24"/>
    </row>
    <row r="2283" spans="7:9" x14ac:dyDescent="0.3">
      <c r="G2283" s="24"/>
      <c r="I2283" s="24"/>
    </row>
    <row r="2284" spans="7:9" x14ac:dyDescent="0.3">
      <c r="G2284" s="24"/>
      <c r="I2284" s="24"/>
    </row>
    <row r="2285" spans="7:9" x14ac:dyDescent="0.3">
      <c r="G2285" s="24"/>
      <c r="I2285" s="24"/>
    </row>
    <row r="2286" spans="7:9" x14ac:dyDescent="0.3">
      <c r="G2286" s="24"/>
      <c r="I2286" s="24"/>
    </row>
    <row r="2287" spans="7:9" x14ac:dyDescent="0.3">
      <c r="G2287" s="24"/>
      <c r="I2287" s="24"/>
    </row>
    <row r="2288" spans="7:9" x14ac:dyDescent="0.3">
      <c r="G2288" s="24"/>
      <c r="I2288" s="24"/>
    </row>
    <row r="2289" spans="7:9" x14ac:dyDescent="0.3">
      <c r="G2289" s="24"/>
      <c r="I2289" s="24"/>
    </row>
    <row r="2290" spans="7:9" x14ac:dyDescent="0.3">
      <c r="G2290" s="24"/>
      <c r="I2290" s="24"/>
    </row>
    <row r="2291" spans="7:9" x14ac:dyDescent="0.3">
      <c r="G2291" s="24"/>
      <c r="I2291" s="24"/>
    </row>
    <row r="2292" spans="7:9" x14ac:dyDescent="0.3">
      <c r="G2292" s="24"/>
      <c r="I2292" s="24"/>
    </row>
    <row r="2293" spans="7:9" x14ac:dyDescent="0.3">
      <c r="G2293" s="24"/>
      <c r="I2293" s="24"/>
    </row>
    <row r="2294" spans="7:9" x14ac:dyDescent="0.3">
      <c r="G2294" s="24"/>
      <c r="I2294" s="24"/>
    </row>
    <row r="2295" spans="7:9" x14ac:dyDescent="0.3">
      <c r="G2295" s="24"/>
      <c r="I2295" s="24"/>
    </row>
    <row r="2296" spans="7:9" x14ac:dyDescent="0.3">
      <c r="G2296" s="24"/>
      <c r="I2296" s="24"/>
    </row>
    <row r="2297" spans="7:9" x14ac:dyDescent="0.3">
      <c r="G2297" s="24"/>
      <c r="I2297" s="24"/>
    </row>
    <row r="2298" spans="7:9" x14ac:dyDescent="0.3">
      <c r="G2298" s="24"/>
      <c r="I2298" s="24"/>
    </row>
    <row r="2299" spans="7:9" x14ac:dyDescent="0.3">
      <c r="G2299" s="24"/>
      <c r="I2299" s="24"/>
    </row>
    <row r="2300" spans="7:9" x14ac:dyDescent="0.3">
      <c r="G2300" s="24"/>
      <c r="I2300" s="24"/>
    </row>
    <row r="2301" spans="7:9" x14ac:dyDescent="0.3">
      <c r="G2301" s="24"/>
      <c r="I2301" s="24"/>
    </row>
    <row r="2302" spans="7:9" x14ac:dyDescent="0.3">
      <c r="G2302" s="24"/>
      <c r="I2302" s="24"/>
    </row>
    <row r="2303" spans="7:9" x14ac:dyDescent="0.3">
      <c r="G2303" s="24"/>
      <c r="I2303" s="24"/>
    </row>
    <row r="2304" spans="7:9" x14ac:dyDescent="0.3">
      <c r="G2304" s="24"/>
      <c r="I2304" s="24"/>
    </row>
    <row r="2305" spans="7:9" x14ac:dyDescent="0.3">
      <c r="G2305" s="24"/>
      <c r="I2305" s="24"/>
    </row>
    <row r="2306" spans="7:9" x14ac:dyDescent="0.3">
      <c r="G2306" s="24"/>
      <c r="I2306" s="24"/>
    </row>
    <row r="2307" spans="7:9" x14ac:dyDescent="0.3">
      <c r="G2307" s="24"/>
      <c r="I2307" s="24"/>
    </row>
    <row r="2308" spans="7:9" x14ac:dyDescent="0.3">
      <c r="G2308" s="24"/>
      <c r="I2308" s="24"/>
    </row>
    <row r="2309" spans="7:9" x14ac:dyDescent="0.3">
      <c r="G2309" s="24"/>
      <c r="I2309" s="24"/>
    </row>
    <row r="2310" spans="7:9" x14ac:dyDescent="0.3">
      <c r="G2310" s="24"/>
      <c r="I2310" s="24"/>
    </row>
    <row r="2311" spans="7:9" x14ac:dyDescent="0.3">
      <c r="G2311" s="24"/>
      <c r="I2311" s="24"/>
    </row>
    <row r="2312" spans="7:9" x14ac:dyDescent="0.3">
      <c r="G2312" s="24"/>
      <c r="I2312" s="24"/>
    </row>
    <row r="2313" spans="7:9" x14ac:dyDescent="0.3">
      <c r="G2313" s="24"/>
      <c r="I2313" s="24"/>
    </row>
    <row r="2314" spans="7:9" x14ac:dyDescent="0.3">
      <c r="G2314" s="24"/>
      <c r="I2314" s="24"/>
    </row>
    <row r="2315" spans="7:9" x14ac:dyDescent="0.3">
      <c r="G2315" s="24"/>
      <c r="I2315" s="24"/>
    </row>
    <row r="2316" spans="7:9" x14ac:dyDescent="0.3">
      <c r="G2316" s="24"/>
      <c r="I2316" s="24"/>
    </row>
    <row r="2317" spans="7:9" x14ac:dyDescent="0.3">
      <c r="G2317" s="24"/>
      <c r="I2317" s="24"/>
    </row>
    <row r="2318" spans="7:9" x14ac:dyDescent="0.3">
      <c r="G2318" s="24"/>
      <c r="I2318" s="24"/>
    </row>
    <row r="2319" spans="7:9" x14ac:dyDescent="0.3">
      <c r="G2319" s="24"/>
      <c r="I2319" s="24"/>
    </row>
    <row r="2320" spans="7:9" x14ac:dyDescent="0.3">
      <c r="G2320" s="24"/>
      <c r="I2320" s="24"/>
    </row>
    <row r="2321" spans="7:9" x14ac:dyDescent="0.3">
      <c r="G2321" s="24"/>
      <c r="I2321" s="24"/>
    </row>
    <row r="2322" spans="7:9" x14ac:dyDescent="0.3">
      <c r="G2322" s="24"/>
      <c r="I2322" s="24"/>
    </row>
    <row r="2323" spans="7:9" x14ac:dyDescent="0.3">
      <c r="G2323" s="24"/>
      <c r="I2323" s="24"/>
    </row>
    <row r="2324" spans="7:9" x14ac:dyDescent="0.3">
      <c r="G2324" s="24"/>
      <c r="I2324" s="24"/>
    </row>
    <row r="2325" spans="7:9" x14ac:dyDescent="0.3">
      <c r="G2325" s="24"/>
      <c r="I2325" s="24"/>
    </row>
    <row r="2326" spans="7:9" x14ac:dyDescent="0.3">
      <c r="G2326" s="24"/>
      <c r="I2326" s="24"/>
    </row>
    <row r="2327" spans="7:9" x14ac:dyDescent="0.3">
      <c r="G2327" s="24"/>
      <c r="I2327" s="24"/>
    </row>
    <row r="2328" spans="7:9" x14ac:dyDescent="0.3">
      <c r="G2328" s="24"/>
      <c r="I2328" s="24"/>
    </row>
    <row r="2329" spans="7:9" x14ac:dyDescent="0.3">
      <c r="G2329" s="24"/>
      <c r="I2329" s="24"/>
    </row>
    <row r="2330" spans="7:9" x14ac:dyDescent="0.3">
      <c r="G2330" s="24"/>
      <c r="I2330" s="24"/>
    </row>
    <row r="2331" spans="7:9" x14ac:dyDescent="0.3">
      <c r="G2331" s="24"/>
      <c r="I2331" s="24"/>
    </row>
    <row r="2332" spans="7:9" x14ac:dyDescent="0.3">
      <c r="G2332" s="24"/>
      <c r="I2332" s="24"/>
    </row>
    <row r="2333" spans="7:9" x14ac:dyDescent="0.3">
      <c r="G2333" s="24"/>
      <c r="I2333" s="24"/>
    </row>
    <row r="2334" spans="7:9" x14ac:dyDescent="0.3">
      <c r="G2334" s="24"/>
      <c r="I2334" s="24"/>
    </row>
    <row r="2335" spans="7:9" x14ac:dyDescent="0.3">
      <c r="G2335" s="24"/>
      <c r="I2335" s="24"/>
    </row>
    <row r="2336" spans="7:9" x14ac:dyDescent="0.3">
      <c r="G2336" s="24"/>
      <c r="I2336" s="24"/>
    </row>
    <row r="2337" spans="7:9" x14ac:dyDescent="0.3">
      <c r="G2337" s="24"/>
      <c r="I2337" s="24"/>
    </row>
    <row r="2338" spans="7:9" x14ac:dyDescent="0.3">
      <c r="G2338" s="24"/>
      <c r="I2338" s="24"/>
    </row>
    <row r="2339" spans="7:9" x14ac:dyDescent="0.3">
      <c r="G2339" s="24"/>
      <c r="I2339" s="24"/>
    </row>
    <row r="2340" spans="7:9" x14ac:dyDescent="0.3">
      <c r="G2340" s="24"/>
      <c r="I2340" s="24"/>
    </row>
    <row r="2341" spans="7:9" x14ac:dyDescent="0.3">
      <c r="G2341" s="24"/>
      <c r="I2341" s="24"/>
    </row>
    <row r="2342" spans="7:9" x14ac:dyDescent="0.3">
      <c r="G2342" s="24"/>
      <c r="I2342" s="24"/>
    </row>
    <row r="2343" spans="7:9" x14ac:dyDescent="0.3">
      <c r="G2343" s="24"/>
      <c r="I2343" s="24"/>
    </row>
    <row r="2344" spans="7:9" x14ac:dyDescent="0.3">
      <c r="G2344" s="24"/>
      <c r="I2344" s="24"/>
    </row>
    <row r="2345" spans="7:9" x14ac:dyDescent="0.3">
      <c r="G2345" s="24"/>
      <c r="I2345" s="24"/>
    </row>
    <row r="2346" spans="7:9" x14ac:dyDescent="0.3">
      <c r="G2346" s="24"/>
      <c r="I2346" s="24"/>
    </row>
    <row r="2347" spans="7:9" x14ac:dyDescent="0.3">
      <c r="G2347" s="24"/>
      <c r="I2347" s="24"/>
    </row>
    <row r="2348" spans="7:9" x14ac:dyDescent="0.3">
      <c r="G2348" s="24"/>
      <c r="I2348" s="24"/>
    </row>
    <row r="2349" spans="7:9" x14ac:dyDescent="0.3">
      <c r="G2349" s="24"/>
      <c r="I2349" s="24"/>
    </row>
    <row r="2350" spans="7:9" x14ac:dyDescent="0.3">
      <c r="G2350" s="24"/>
      <c r="I2350" s="24"/>
    </row>
    <row r="2351" spans="7:9" x14ac:dyDescent="0.3">
      <c r="G2351" s="24"/>
      <c r="I2351" s="24"/>
    </row>
    <row r="2352" spans="7:9" x14ac:dyDescent="0.3">
      <c r="G2352" s="24"/>
      <c r="I2352" s="24"/>
    </row>
    <row r="2353" spans="7:9" x14ac:dyDescent="0.3">
      <c r="G2353" s="24"/>
      <c r="I2353" s="24"/>
    </row>
    <row r="2354" spans="7:9" x14ac:dyDescent="0.3">
      <c r="G2354" s="24"/>
      <c r="I2354" s="24"/>
    </row>
    <row r="2355" spans="7:9" x14ac:dyDescent="0.3">
      <c r="G2355" s="24"/>
      <c r="I2355" s="24"/>
    </row>
    <row r="2356" spans="7:9" x14ac:dyDescent="0.3">
      <c r="G2356" s="24"/>
      <c r="I2356" s="24"/>
    </row>
    <row r="2357" spans="7:9" x14ac:dyDescent="0.3">
      <c r="G2357" s="24"/>
      <c r="I2357" s="24"/>
    </row>
    <row r="2358" spans="7:9" x14ac:dyDescent="0.3">
      <c r="G2358" s="24"/>
      <c r="I2358" s="24"/>
    </row>
    <row r="2359" spans="7:9" x14ac:dyDescent="0.3">
      <c r="G2359" s="24"/>
      <c r="I2359" s="24"/>
    </row>
    <row r="2360" spans="7:9" x14ac:dyDescent="0.3">
      <c r="G2360" s="24"/>
      <c r="I2360" s="24"/>
    </row>
    <row r="2361" spans="7:9" x14ac:dyDescent="0.3">
      <c r="G2361" s="24"/>
      <c r="I2361" s="24"/>
    </row>
    <row r="2362" spans="7:9" x14ac:dyDescent="0.3">
      <c r="G2362" s="24"/>
      <c r="I2362" s="24"/>
    </row>
    <row r="2363" spans="7:9" x14ac:dyDescent="0.3">
      <c r="G2363" s="24"/>
      <c r="I2363" s="24"/>
    </row>
    <row r="2364" spans="7:9" x14ac:dyDescent="0.3">
      <c r="G2364" s="24"/>
      <c r="I2364" s="24"/>
    </row>
    <row r="2365" spans="7:9" x14ac:dyDescent="0.3">
      <c r="G2365" s="24"/>
      <c r="I2365" s="24"/>
    </row>
    <row r="2366" spans="7:9" x14ac:dyDescent="0.3">
      <c r="G2366" s="24"/>
      <c r="I2366" s="24"/>
    </row>
    <row r="2367" spans="7:9" x14ac:dyDescent="0.3">
      <c r="G2367" s="24"/>
      <c r="I2367" s="24"/>
    </row>
    <row r="2368" spans="7:9" x14ac:dyDescent="0.3">
      <c r="G2368" s="24"/>
      <c r="I2368" s="24"/>
    </row>
    <row r="2369" spans="7:9" x14ac:dyDescent="0.3">
      <c r="G2369" s="24"/>
      <c r="I2369" s="24"/>
    </row>
    <row r="2370" spans="7:9" x14ac:dyDescent="0.3">
      <c r="G2370" s="24"/>
      <c r="I2370" s="24"/>
    </row>
    <row r="2371" spans="7:9" x14ac:dyDescent="0.3">
      <c r="G2371" s="24"/>
      <c r="I2371" s="24"/>
    </row>
    <row r="2372" spans="7:9" x14ac:dyDescent="0.3">
      <c r="G2372" s="24"/>
      <c r="I2372" s="24"/>
    </row>
    <row r="2373" spans="7:9" x14ac:dyDescent="0.3">
      <c r="G2373" s="24"/>
      <c r="I2373" s="24"/>
    </row>
    <row r="2374" spans="7:9" x14ac:dyDescent="0.3">
      <c r="G2374" s="24"/>
      <c r="I2374" s="24"/>
    </row>
    <row r="2375" spans="7:9" x14ac:dyDescent="0.3">
      <c r="G2375" s="24"/>
      <c r="I2375" s="24"/>
    </row>
    <row r="2376" spans="7:9" x14ac:dyDescent="0.3">
      <c r="G2376" s="24"/>
      <c r="I2376" s="24"/>
    </row>
    <row r="2377" spans="7:9" x14ac:dyDescent="0.3">
      <c r="G2377" s="24"/>
      <c r="I2377" s="24"/>
    </row>
    <row r="2378" spans="7:9" x14ac:dyDescent="0.3">
      <c r="G2378" s="24"/>
      <c r="I2378" s="24"/>
    </row>
    <row r="2379" spans="7:9" x14ac:dyDescent="0.3">
      <c r="G2379" s="24"/>
      <c r="I2379" s="24"/>
    </row>
    <row r="2380" spans="7:9" x14ac:dyDescent="0.3">
      <c r="G2380" s="24"/>
      <c r="I2380" s="24"/>
    </row>
    <row r="2381" spans="7:9" x14ac:dyDescent="0.3">
      <c r="G2381" s="24"/>
      <c r="I2381" s="24"/>
    </row>
    <row r="2382" spans="7:9" x14ac:dyDescent="0.3">
      <c r="G2382" s="24"/>
      <c r="I2382" s="24"/>
    </row>
    <row r="2383" spans="7:9" x14ac:dyDescent="0.3">
      <c r="G2383" s="24"/>
      <c r="I2383" s="24"/>
    </row>
    <row r="2384" spans="7:9" x14ac:dyDescent="0.3">
      <c r="G2384" s="24"/>
      <c r="I2384" s="24"/>
    </row>
    <row r="2385" spans="7:9" x14ac:dyDescent="0.3">
      <c r="G2385" s="24"/>
      <c r="I2385" s="24"/>
    </row>
    <row r="2386" spans="7:9" x14ac:dyDescent="0.3">
      <c r="G2386" s="24"/>
      <c r="I2386" s="24"/>
    </row>
    <row r="2387" spans="7:9" x14ac:dyDescent="0.3">
      <c r="G2387" s="24"/>
      <c r="I2387" s="24"/>
    </row>
    <row r="2388" spans="7:9" x14ac:dyDescent="0.3">
      <c r="G2388" s="24"/>
      <c r="I2388" s="24"/>
    </row>
    <row r="2389" spans="7:9" x14ac:dyDescent="0.3">
      <c r="G2389" s="24"/>
      <c r="I2389" s="24"/>
    </row>
    <row r="2390" spans="7:9" x14ac:dyDescent="0.3">
      <c r="G2390" s="24"/>
      <c r="I2390" s="24"/>
    </row>
    <row r="2391" spans="7:9" x14ac:dyDescent="0.3">
      <c r="G2391" s="24"/>
      <c r="I2391" s="24"/>
    </row>
    <row r="2392" spans="7:9" x14ac:dyDescent="0.3">
      <c r="G2392" s="24"/>
      <c r="I2392" s="24"/>
    </row>
    <row r="2393" spans="7:9" x14ac:dyDescent="0.3">
      <c r="G2393" s="24"/>
      <c r="I2393" s="24"/>
    </row>
    <row r="2394" spans="7:9" x14ac:dyDescent="0.3">
      <c r="G2394" s="24"/>
      <c r="I2394" s="24"/>
    </row>
    <row r="2395" spans="7:9" x14ac:dyDescent="0.3">
      <c r="G2395" s="24"/>
      <c r="I2395" s="24"/>
    </row>
    <row r="2396" spans="7:9" x14ac:dyDescent="0.3">
      <c r="G2396" s="24"/>
      <c r="I2396" s="24"/>
    </row>
    <row r="2397" spans="7:9" x14ac:dyDescent="0.3">
      <c r="G2397" s="24"/>
      <c r="I2397" s="24"/>
    </row>
    <row r="2398" spans="7:9" x14ac:dyDescent="0.3">
      <c r="G2398" s="24"/>
      <c r="I2398" s="24"/>
    </row>
    <row r="2399" spans="7:9" x14ac:dyDescent="0.3">
      <c r="G2399" s="24"/>
      <c r="I2399" s="24"/>
    </row>
    <row r="2400" spans="7:9" x14ac:dyDescent="0.3">
      <c r="G2400" s="24"/>
      <c r="I2400" s="24"/>
    </row>
    <row r="2401" spans="7:9" x14ac:dyDescent="0.3">
      <c r="G2401" s="24"/>
      <c r="I2401" s="24"/>
    </row>
    <row r="2402" spans="7:9" x14ac:dyDescent="0.3">
      <c r="G2402" s="24"/>
      <c r="I2402" s="24"/>
    </row>
    <row r="2403" spans="7:9" x14ac:dyDescent="0.3">
      <c r="G2403" s="24"/>
      <c r="I2403" s="24"/>
    </row>
    <row r="2404" spans="7:9" x14ac:dyDescent="0.3">
      <c r="G2404" s="24"/>
      <c r="I2404" s="24"/>
    </row>
    <row r="2405" spans="7:9" x14ac:dyDescent="0.3">
      <c r="G2405" s="24"/>
      <c r="I2405" s="24"/>
    </row>
    <row r="2406" spans="7:9" x14ac:dyDescent="0.3">
      <c r="G2406" s="24"/>
      <c r="I2406" s="24"/>
    </row>
    <row r="2407" spans="7:9" x14ac:dyDescent="0.3">
      <c r="G2407" s="24"/>
      <c r="I2407" s="24"/>
    </row>
    <row r="2408" spans="7:9" x14ac:dyDescent="0.3">
      <c r="G2408" s="24"/>
      <c r="I2408" s="24"/>
    </row>
    <row r="2409" spans="7:9" x14ac:dyDescent="0.3">
      <c r="G2409" s="24"/>
      <c r="I2409" s="24"/>
    </row>
    <row r="2410" spans="7:9" x14ac:dyDescent="0.3">
      <c r="G2410" s="24"/>
      <c r="I2410" s="24"/>
    </row>
    <row r="2411" spans="7:9" x14ac:dyDescent="0.3">
      <c r="G2411" s="24"/>
      <c r="I2411" s="24"/>
    </row>
    <row r="2412" spans="7:9" x14ac:dyDescent="0.3">
      <c r="G2412" s="24"/>
      <c r="I2412" s="24"/>
    </row>
    <row r="2413" spans="7:9" x14ac:dyDescent="0.3">
      <c r="G2413" s="24"/>
      <c r="I2413" s="24"/>
    </row>
    <row r="2414" spans="7:9" x14ac:dyDescent="0.3">
      <c r="G2414" s="24"/>
      <c r="I2414" s="24"/>
    </row>
    <row r="2415" spans="7:9" x14ac:dyDescent="0.3">
      <c r="G2415" s="24"/>
      <c r="I2415" s="24"/>
    </row>
    <row r="2416" spans="7:9" x14ac:dyDescent="0.3">
      <c r="G2416" s="24"/>
      <c r="I2416" s="24"/>
    </row>
    <row r="2417" spans="7:9" x14ac:dyDescent="0.3">
      <c r="G2417" s="24"/>
      <c r="I2417" s="24"/>
    </row>
    <row r="2418" spans="7:9" x14ac:dyDescent="0.3">
      <c r="G2418" s="24"/>
      <c r="I2418" s="24"/>
    </row>
    <row r="2419" spans="7:9" x14ac:dyDescent="0.3">
      <c r="G2419" s="24"/>
      <c r="I2419" s="24"/>
    </row>
    <row r="2420" spans="7:9" x14ac:dyDescent="0.3">
      <c r="G2420" s="24"/>
      <c r="I2420" s="24"/>
    </row>
    <row r="2421" spans="7:9" x14ac:dyDescent="0.3">
      <c r="G2421" s="24"/>
      <c r="I2421" s="24"/>
    </row>
    <row r="2422" spans="7:9" x14ac:dyDescent="0.3">
      <c r="G2422" s="24"/>
      <c r="I2422" s="24"/>
    </row>
    <row r="2423" spans="7:9" x14ac:dyDescent="0.3">
      <c r="G2423" s="24"/>
      <c r="I2423" s="24"/>
    </row>
    <row r="2424" spans="7:9" x14ac:dyDescent="0.3">
      <c r="G2424" s="24"/>
      <c r="I2424" s="24"/>
    </row>
    <row r="2425" spans="7:9" x14ac:dyDescent="0.3">
      <c r="G2425" s="24"/>
      <c r="I2425" s="24"/>
    </row>
    <row r="2426" spans="7:9" x14ac:dyDescent="0.3">
      <c r="G2426" s="24"/>
      <c r="I2426" s="24"/>
    </row>
    <row r="2427" spans="7:9" x14ac:dyDescent="0.3">
      <c r="G2427" s="24"/>
      <c r="I2427" s="24"/>
    </row>
    <row r="2428" spans="7:9" x14ac:dyDescent="0.3">
      <c r="G2428" s="24"/>
      <c r="I2428" s="24"/>
    </row>
    <row r="2429" spans="7:9" x14ac:dyDescent="0.3">
      <c r="G2429" s="24"/>
      <c r="I2429" s="24"/>
    </row>
    <row r="2430" spans="7:9" x14ac:dyDescent="0.3">
      <c r="G2430" s="24"/>
      <c r="I2430" s="24"/>
    </row>
    <row r="2431" spans="7:9" x14ac:dyDescent="0.3">
      <c r="G2431" s="24"/>
      <c r="I2431" s="24"/>
    </row>
    <row r="2432" spans="7:9" x14ac:dyDescent="0.3">
      <c r="G2432" s="24"/>
      <c r="I2432" s="24"/>
    </row>
    <row r="2433" spans="7:9" x14ac:dyDescent="0.3">
      <c r="G2433" s="24"/>
      <c r="I2433" s="24"/>
    </row>
    <row r="2434" spans="7:9" x14ac:dyDescent="0.3">
      <c r="G2434" s="24"/>
      <c r="I2434" s="24"/>
    </row>
    <row r="2435" spans="7:9" x14ac:dyDescent="0.3">
      <c r="G2435" s="24"/>
      <c r="I2435" s="24"/>
    </row>
    <row r="2436" spans="7:9" x14ac:dyDescent="0.3">
      <c r="G2436" s="24"/>
      <c r="I2436" s="24"/>
    </row>
    <row r="2437" spans="7:9" x14ac:dyDescent="0.3">
      <c r="G2437" s="24"/>
      <c r="I2437" s="24"/>
    </row>
    <row r="2438" spans="7:9" x14ac:dyDescent="0.3">
      <c r="G2438" s="24"/>
      <c r="I2438" s="24"/>
    </row>
    <row r="2439" spans="7:9" x14ac:dyDescent="0.3">
      <c r="G2439" s="24"/>
      <c r="I2439" s="24"/>
    </row>
    <row r="2440" spans="7:9" x14ac:dyDescent="0.3">
      <c r="G2440" s="24"/>
      <c r="I2440" s="24"/>
    </row>
    <row r="2441" spans="7:9" x14ac:dyDescent="0.3">
      <c r="G2441" s="24"/>
      <c r="I2441" s="24"/>
    </row>
    <row r="2442" spans="7:9" x14ac:dyDescent="0.3">
      <c r="G2442" s="24"/>
      <c r="I2442" s="24"/>
    </row>
    <row r="2443" spans="7:9" x14ac:dyDescent="0.3">
      <c r="G2443" s="24"/>
      <c r="I2443" s="24"/>
    </row>
    <row r="2444" spans="7:9" x14ac:dyDescent="0.3">
      <c r="G2444" s="24"/>
      <c r="I2444" s="24"/>
    </row>
    <row r="2445" spans="7:9" x14ac:dyDescent="0.3">
      <c r="G2445" s="24"/>
      <c r="I2445" s="24"/>
    </row>
    <row r="2446" spans="7:9" x14ac:dyDescent="0.3">
      <c r="G2446" s="24"/>
      <c r="I2446" s="24"/>
    </row>
    <row r="2447" spans="7:9" x14ac:dyDescent="0.3">
      <c r="G2447" s="24"/>
      <c r="I2447" s="24"/>
    </row>
    <row r="2448" spans="7:9" x14ac:dyDescent="0.3">
      <c r="G2448" s="24"/>
      <c r="I2448" s="24"/>
    </row>
    <row r="2449" spans="7:9" x14ac:dyDescent="0.3">
      <c r="G2449" s="24"/>
      <c r="I2449" s="24"/>
    </row>
    <row r="2450" spans="7:9" x14ac:dyDescent="0.3">
      <c r="G2450" s="24"/>
      <c r="I2450" s="24"/>
    </row>
    <row r="2451" spans="7:9" x14ac:dyDescent="0.3">
      <c r="G2451" s="24"/>
      <c r="I2451" s="24"/>
    </row>
    <row r="2452" spans="7:9" x14ac:dyDescent="0.3">
      <c r="G2452" s="24"/>
      <c r="I2452" s="24"/>
    </row>
    <row r="2453" spans="7:9" x14ac:dyDescent="0.3">
      <c r="G2453" s="24"/>
      <c r="I2453" s="24"/>
    </row>
    <row r="2454" spans="7:9" x14ac:dyDescent="0.3">
      <c r="G2454" s="24"/>
      <c r="I2454" s="24"/>
    </row>
    <row r="2455" spans="7:9" x14ac:dyDescent="0.3">
      <c r="G2455" s="24"/>
      <c r="I2455" s="24"/>
    </row>
    <row r="2456" spans="7:9" x14ac:dyDescent="0.3">
      <c r="G2456" s="24"/>
      <c r="I2456" s="24"/>
    </row>
    <row r="2457" spans="7:9" x14ac:dyDescent="0.3">
      <c r="G2457" s="24"/>
      <c r="I2457" s="24"/>
    </row>
    <row r="2458" spans="7:9" x14ac:dyDescent="0.3">
      <c r="G2458" s="24"/>
      <c r="I2458" s="24"/>
    </row>
    <row r="2459" spans="7:9" x14ac:dyDescent="0.3">
      <c r="G2459" s="24"/>
      <c r="I2459" s="24"/>
    </row>
    <row r="2460" spans="7:9" x14ac:dyDescent="0.3">
      <c r="G2460" s="24"/>
      <c r="I2460" s="24"/>
    </row>
    <row r="2461" spans="7:9" x14ac:dyDescent="0.3">
      <c r="G2461" s="24"/>
      <c r="I2461" s="24"/>
    </row>
    <row r="2462" spans="7:9" x14ac:dyDescent="0.3">
      <c r="G2462" s="24"/>
      <c r="I2462" s="24"/>
    </row>
    <row r="2463" spans="7:9" x14ac:dyDescent="0.3">
      <c r="G2463" s="24"/>
      <c r="I2463" s="24"/>
    </row>
    <row r="2464" spans="7:9" x14ac:dyDescent="0.3">
      <c r="G2464" s="24"/>
      <c r="I2464" s="24"/>
    </row>
    <row r="2465" spans="7:9" x14ac:dyDescent="0.3">
      <c r="G2465" s="24"/>
      <c r="I2465" s="24"/>
    </row>
    <row r="2466" spans="7:9" x14ac:dyDescent="0.3">
      <c r="G2466" s="24"/>
      <c r="I2466" s="24"/>
    </row>
    <row r="2467" spans="7:9" x14ac:dyDescent="0.3">
      <c r="G2467" s="24"/>
      <c r="I2467" s="24"/>
    </row>
    <row r="2468" spans="7:9" x14ac:dyDescent="0.3">
      <c r="G2468" s="24"/>
      <c r="I2468" s="24"/>
    </row>
    <row r="2469" spans="7:9" x14ac:dyDescent="0.3">
      <c r="G2469" s="24"/>
      <c r="I2469" s="24"/>
    </row>
    <row r="2470" spans="7:9" x14ac:dyDescent="0.3">
      <c r="G2470" s="24"/>
      <c r="I2470" s="24"/>
    </row>
    <row r="2471" spans="7:9" x14ac:dyDescent="0.3">
      <c r="G2471" s="24"/>
      <c r="I2471" s="24"/>
    </row>
    <row r="2472" spans="7:9" x14ac:dyDescent="0.3">
      <c r="G2472" s="24"/>
      <c r="I2472" s="24"/>
    </row>
    <row r="2473" spans="7:9" x14ac:dyDescent="0.3">
      <c r="G2473" s="24"/>
      <c r="I2473" s="24"/>
    </row>
    <row r="2474" spans="7:9" x14ac:dyDescent="0.3">
      <c r="G2474" s="24"/>
      <c r="I2474" s="24"/>
    </row>
    <row r="2475" spans="7:9" x14ac:dyDescent="0.3">
      <c r="G2475" s="24"/>
      <c r="I2475" s="24"/>
    </row>
    <row r="2476" spans="7:9" x14ac:dyDescent="0.3">
      <c r="G2476" s="24"/>
      <c r="I2476" s="24"/>
    </row>
    <row r="2477" spans="7:9" x14ac:dyDescent="0.3">
      <c r="G2477" s="24"/>
      <c r="I2477" s="24"/>
    </row>
    <row r="2478" spans="7:9" x14ac:dyDescent="0.3">
      <c r="G2478" s="24"/>
      <c r="I2478" s="24"/>
    </row>
    <row r="2479" spans="7:9" x14ac:dyDescent="0.3">
      <c r="G2479" s="24"/>
      <c r="I2479" s="24"/>
    </row>
    <row r="2480" spans="7:9" x14ac:dyDescent="0.3">
      <c r="G2480" s="24"/>
      <c r="I2480" s="24"/>
    </row>
    <row r="2481" spans="7:9" x14ac:dyDescent="0.3">
      <c r="G2481" s="24"/>
      <c r="I2481" s="24"/>
    </row>
    <row r="2482" spans="7:9" x14ac:dyDescent="0.3">
      <c r="G2482" s="24"/>
      <c r="I2482" s="24"/>
    </row>
    <row r="2483" spans="7:9" x14ac:dyDescent="0.3">
      <c r="G2483" s="24"/>
      <c r="I2483" s="24"/>
    </row>
    <row r="2484" spans="7:9" x14ac:dyDescent="0.3">
      <c r="G2484" s="24"/>
      <c r="I2484" s="24"/>
    </row>
    <row r="2485" spans="7:9" x14ac:dyDescent="0.3">
      <c r="G2485" s="24"/>
      <c r="I2485" s="24"/>
    </row>
    <row r="2486" spans="7:9" x14ac:dyDescent="0.3">
      <c r="G2486" s="24"/>
      <c r="I2486" s="24"/>
    </row>
    <row r="2487" spans="7:9" x14ac:dyDescent="0.3">
      <c r="G2487" s="24"/>
      <c r="I2487" s="24"/>
    </row>
    <row r="2488" spans="7:9" x14ac:dyDescent="0.3">
      <c r="G2488" s="24"/>
      <c r="I2488" s="24"/>
    </row>
    <row r="2489" spans="7:9" x14ac:dyDescent="0.3">
      <c r="G2489" s="24"/>
      <c r="I2489" s="24"/>
    </row>
    <row r="2490" spans="7:9" x14ac:dyDescent="0.3">
      <c r="G2490" s="24"/>
      <c r="I2490" s="24"/>
    </row>
    <row r="2491" spans="7:9" x14ac:dyDescent="0.3">
      <c r="G2491" s="24"/>
      <c r="I2491" s="24"/>
    </row>
    <row r="2492" spans="7:9" x14ac:dyDescent="0.3">
      <c r="G2492" s="24"/>
      <c r="I2492" s="24"/>
    </row>
    <row r="2493" spans="7:9" x14ac:dyDescent="0.3">
      <c r="G2493" s="24"/>
      <c r="I2493" s="24"/>
    </row>
    <row r="2494" spans="7:9" x14ac:dyDescent="0.3">
      <c r="G2494" s="24"/>
      <c r="I2494" s="24"/>
    </row>
    <row r="2495" spans="7:9" x14ac:dyDescent="0.3">
      <c r="G2495" s="24"/>
      <c r="I2495" s="24"/>
    </row>
    <row r="2496" spans="7:9" x14ac:dyDescent="0.3">
      <c r="G2496" s="24"/>
      <c r="I2496" s="24"/>
    </row>
    <row r="2497" spans="7:9" x14ac:dyDescent="0.3">
      <c r="G2497" s="24"/>
      <c r="I2497" s="24"/>
    </row>
    <row r="2498" spans="7:9" x14ac:dyDescent="0.3">
      <c r="G2498" s="24"/>
      <c r="I2498" s="24"/>
    </row>
    <row r="2499" spans="7:9" x14ac:dyDescent="0.3">
      <c r="G2499" s="24"/>
      <c r="I2499" s="24"/>
    </row>
    <row r="2500" spans="7:9" x14ac:dyDescent="0.3">
      <c r="G2500" s="24"/>
      <c r="I2500" s="24"/>
    </row>
    <row r="2501" spans="7:9" x14ac:dyDescent="0.3">
      <c r="G2501" s="24"/>
      <c r="I2501" s="24"/>
    </row>
    <row r="2502" spans="7:9" x14ac:dyDescent="0.3">
      <c r="G2502" s="24"/>
      <c r="I2502" s="24"/>
    </row>
    <row r="2503" spans="7:9" x14ac:dyDescent="0.3">
      <c r="G2503" s="24"/>
      <c r="I2503" s="24"/>
    </row>
    <row r="2504" spans="7:9" x14ac:dyDescent="0.3">
      <c r="G2504" s="24"/>
      <c r="I2504" s="24"/>
    </row>
    <row r="2505" spans="7:9" x14ac:dyDescent="0.3">
      <c r="G2505" s="24"/>
      <c r="I2505" s="24"/>
    </row>
    <row r="2506" spans="7:9" x14ac:dyDescent="0.3">
      <c r="G2506" s="24"/>
      <c r="I2506" s="24"/>
    </row>
    <row r="2507" spans="7:9" x14ac:dyDescent="0.3">
      <c r="G2507" s="24"/>
      <c r="I2507" s="24"/>
    </row>
    <row r="2508" spans="7:9" x14ac:dyDescent="0.3">
      <c r="G2508" s="24"/>
      <c r="I2508" s="24"/>
    </row>
    <row r="2509" spans="7:9" x14ac:dyDescent="0.3">
      <c r="G2509" s="24"/>
      <c r="I2509" s="24"/>
    </row>
    <row r="2510" spans="7:9" x14ac:dyDescent="0.3">
      <c r="G2510" s="24"/>
      <c r="I2510" s="24"/>
    </row>
    <row r="2511" spans="7:9" x14ac:dyDescent="0.3">
      <c r="G2511" s="24"/>
      <c r="I2511" s="24"/>
    </row>
    <row r="2512" spans="7:9" x14ac:dyDescent="0.3">
      <c r="G2512" s="24"/>
      <c r="I2512" s="24"/>
    </row>
    <row r="2513" spans="7:9" x14ac:dyDescent="0.3">
      <c r="G2513" s="24"/>
      <c r="I2513" s="24"/>
    </row>
    <row r="2514" spans="7:9" x14ac:dyDescent="0.3">
      <c r="G2514" s="24"/>
      <c r="I2514" s="24"/>
    </row>
    <row r="2515" spans="7:9" x14ac:dyDescent="0.3">
      <c r="G2515" s="24"/>
      <c r="I2515" s="24"/>
    </row>
    <row r="2516" spans="7:9" x14ac:dyDescent="0.3">
      <c r="G2516" s="24"/>
      <c r="I2516" s="24"/>
    </row>
    <row r="2517" spans="7:9" x14ac:dyDescent="0.3">
      <c r="G2517" s="24"/>
      <c r="I2517" s="24"/>
    </row>
    <row r="2518" spans="7:9" x14ac:dyDescent="0.3">
      <c r="G2518" s="24"/>
      <c r="I2518" s="24"/>
    </row>
    <row r="2519" spans="7:9" x14ac:dyDescent="0.3">
      <c r="G2519" s="24"/>
      <c r="I2519" s="24"/>
    </row>
    <row r="2520" spans="7:9" x14ac:dyDescent="0.3">
      <c r="G2520" s="24"/>
      <c r="I2520" s="24"/>
    </row>
    <row r="2521" spans="7:9" x14ac:dyDescent="0.3">
      <c r="G2521" s="24"/>
      <c r="I2521" s="24"/>
    </row>
    <row r="2522" spans="7:9" x14ac:dyDescent="0.3">
      <c r="G2522" s="24"/>
      <c r="I2522" s="24"/>
    </row>
    <row r="2523" spans="7:9" x14ac:dyDescent="0.3">
      <c r="G2523" s="24"/>
      <c r="I2523" s="24"/>
    </row>
    <row r="2524" spans="7:9" x14ac:dyDescent="0.3">
      <c r="G2524" s="24"/>
      <c r="I2524" s="24"/>
    </row>
    <row r="2525" spans="7:9" x14ac:dyDescent="0.3">
      <c r="G2525" s="24"/>
      <c r="I2525" s="24"/>
    </row>
    <row r="2526" spans="7:9" x14ac:dyDescent="0.3">
      <c r="G2526" s="24"/>
      <c r="I2526" s="24"/>
    </row>
    <row r="2527" spans="7:9" x14ac:dyDescent="0.3">
      <c r="G2527" s="24"/>
      <c r="I2527" s="24"/>
    </row>
    <row r="2528" spans="7:9" x14ac:dyDescent="0.3">
      <c r="G2528" s="24"/>
      <c r="I2528" s="24"/>
    </row>
    <row r="2529" spans="7:9" x14ac:dyDescent="0.3">
      <c r="G2529" s="24"/>
      <c r="I2529" s="24"/>
    </row>
    <row r="2530" spans="7:9" x14ac:dyDescent="0.3">
      <c r="G2530" s="24"/>
      <c r="I2530" s="24"/>
    </row>
    <row r="2531" spans="7:9" x14ac:dyDescent="0.3">
      <c r="G2531" s="24"/>
      <c r="I2531" s="24"/>
    </row>
    <row r="2532" spans="7:9" x14ac:dyDescent="0.3">
      <c r="G2532" s="24"/>
      <c r="I2532" s="24"/>
    </row>
    <row r="2533" spans="7:9" x14ac:dyDescent="0.3">
      <c r="G2533" s="24"/>
      <c r="I2533" s="24"/>
    </row>
    <row r="2534" spans="7:9" x14ac:dyDescent="0.3">
      <c r="G2534" s="24"/>
      <c r="I2534" s="24"/>
    </row>
    <row r="2535" spans="7:9" x14ac:dyDescent="0.3">
      <c r="G2535" s="24"/>
      <c r="I2535" s="24"/>
    </row>
    <row r="2536" spans="7:9" x14ac:dyDescent="0.3">
      <c r="G2536" s="24"/>
      <c r="I2536" s="24"/>
    </row>
    <row r="2537" spans="7:9" x14ac:dyDescent="0.3">
      <c r="G2537" s="24"/>
      <c r="I2537" s="24"/>
    </row>
    <row r="2538" spans="7:9" x14ac:dyDescent="0.3">
      <c r="G2538" s="24"/>
      <c r="I2538" s="24"/>
    </row>
    <row r="2539" spans="7:9" x14ac:dyDescent="0.3">
      <c r="G2539" s="24"/>
      <c r="I2539" s="24"/>
    </row>
    <row r="2540" spans="7:9" x14ac:dyDescent="0.3">
      <c r="G2540" s="24"/>
      <c r="I2540" s="24"/>
    </row>
    <row r="2541" spans="7:9" x14ac:dyDescent="0.3">
      <c r="G2541" s="24"/>
      <c r="I2541" s="24"/>
    </row>
    <row r="2542" spans="7:9" x14ac:dyDescent="0.3">
      <c r="G2542" s="24"/>
      <c r="I2542" s="24"/>
    </row>
    <row r="2543" spans="7:9" x14ac:dyDescent="0.3">
      <c r="G2543" s="24"/>
      <c r="I2543" s="24"/>
    </row>
    <row r="2544" spans="7:9" x14ac:dyDescent="0.3">
      <c r="G2544" s="24"/>
      <c r="I2544" s="24"/>
    </row>
    <row r="2545" spans="7:9" x14ac:dyDescent="0.3">
      <c r="G2545" s="24"/>
      <c r="I2545" s="24"/>
    </row>
    <row r="2546" spans="7:9" x14ac:dyDescent="0.3">
      <c r="G2546" s="24"/>
      <c r="I2546" s="24"/>
    </row>
    <row r="2547" spans="7:9" x14ac:dyDescent="0.3">
      <c r="G2547" s="24"/>
      <c r="I2547" s="24"/>
    </row>
    <row r="2548" spans="7:9" x14ac:dyDescent="0.3">
      <c r="G2548" s="24"/>
      <c r="I2548" s="24"/>
    </row>
    <row r="2549" spans="7:9" x14ac:dyDescent="0.3">
      <c r="G2549" s="24"/>
      <c r="I2549" s="24"/>
    </row>
    <row r="2550" spans="7:9" x14ac:dyDescent="0.3">
      <c r="G2550" s="24"/>
      <c r="I2550" s="24"/>
    </row>
    <row r="2551" spans="7:9" x14ac:dyDescent="0.3">
      <c r="G2551" s="24"/>
      <c r="I2551" s="24"/>
    </row>
    <row r="2552" spans="7:9" x14ac:dyDescent="0.3">
      <c r="G2552" s="24"/>
      <c r="I2552" s="24"/>
    </row>
    <row r="2553" spans="7:9" x14ac:dyDescent="0.3">
      <c r="G2553" s="24"/>
      <c r="I2553" s="24"/>
    </row>
    <row r="2554" spans="7:9" x14ac:dyDescent="0.3">
      <c r="G2554" s="24"/>
      <c r="I2554" s="24"/>
    </row>
    <row r="2555" spans="7:9" x14ac:dyDescent="0.3">
      <c r="G2555" s="24"/>
      <c r="I2555" s="24"/>
    </row>
    <row r="2556" spans="7:9" x14ac:dyDescent="0.3">
      <c r="G2556" s="24"/>
      <c r="I2556" s="24"/>
    </row>
    <row r="2557" spans="7:9" x14ac:dyDescent="0.3">
      <c r="G2557" s="24"/>
      <c r="I2557" s="24"/>
    </row>
    <row r="2558" spans="7:9" x14ac:dyDescent="0.3">
      <c r="G2558" s="24"/>
      <c r="I2558" s="24"/>
    </row>
    <row r="2559" spans="7:9" x14ac:dyDescent="0.3">
      <c r="G2559" s="24"/>
      <c r="I2559" s="24"/>
    </row>
    <row r="2560" spans="7:9" x14ac:dyDescent="0.3">
      <c r="G2560" s="24"/>
      <c r="I2560" s="24"/>
    </row>
    <row r="2561" spans="7:9" x14ac:dyDescent="0.3">
      <c r="G2561" s="24"/>
      <c r="I2561" s="24"/>
    </row>
    <row r="2562" spans="7:9" x14ac:dyDescent="0.3">
      <c r="G2562" s="24"/>
      <c r="I2562" s="24"/>
    </row>
    <row r="2563" spans="7:9" x14ac:dyDescent="0.3">
      <c r="G2563" s="24"/>
      <c r="I2563" s="24"/>
    </row>
    <row r="2564" spans="7:9" x14ac:dyDescent="0.3">
      <c r="G2564" s="24"/>
      <c r="I2564" s="24"/>
    </row>
    <row r="2565" spans="7:9" x14ac:dyDescent="0.3">
      <c r="G2565" s="24"/>
      <c r="I2565" s="24"/>
    </row>
    <row r="2566" spans="7:9" x14ac:dyDescent="0.3">
      <c r="G2566" s="24"/>
      <c r="I2566" s="24"/>
    </row>
    <row r="2567" spans="7:9" x14ac:dyDescent="0.3">
      <c r="G2567" s="24"/>
      <c r="I2567" s="24"/>
    </row>
    <row r="2568" spans="7:9" x14ac:dyDescent="0.3">
      <c r="G2568" s="24"/>
      <c r="I2568" s="24"/>
    </row>
    <row r="2569" spans="7:9" x14ac:dyDescent="0.3">
      <c r="G2569" s="24"/>
      <c r="I2569" s="24"/>
    </row>
    <row r="2570" spans="7:9" x14ac:dyDescent="0.3">
      <c r="G2570" s="24"/>
      <c r="I2570" s="24"/>
    </row>
    <row r="2571" spans="7:9" x14ac:dyDescent="0.3">
      <c r="G2571" s="24"/>
      <c r="I2571" s="24"/>
    </row>
    <row r="2572" spans="7:9" x14ac:dyDescent="0.3">
      <c r="G2572" s="24"/>
      <c r="I2572" s="24"/>
    </row>
    <row r="2573" spans="7:9" x14ac:dyDescent="0.3">
      <c r="G2573" s="24"/>
      <c r="I2573" s="24"/>
    </row>
    <row r="2574" spans="7:9" x14ac:dyDescent="0.3">
      <c r="G2574" s="24"/>
      <c r="I2574" s="24"/>
    </row>
    <row r="2575" spans="7:9" x14ac:dyDescent="0.3">
      <c r="G2575" s="24"/>
      <c r="I2575" s="24"/>
    </row>
    <row r="2576" spans="7:9" x14ac:dyDescent="0.3">
      <c r="G2576" s="24"/>
      <c r="I2576" s="24"/>
    </row>
    <row r="2577" spans="7:9" x14ac:dyDescent="0.3">
      <c r="G2577" s="24"/>
      <c r="I2577" s="24"/>
    </row>
    <row r="2578" spans="7:9" x14ac:dyDescent="0.3">
      <c r="G2578" s="24"/>
      <c r="I2578" s="24"/>
    </row>
    <row r="2579" spans="7:9" x14ac:dyDescent="0.3">
      <c r="G2579" s="24"/>
      <c r="I2579" s="24"/>
    </row>
    <row r="2580" spans="7:9" x14ac:dyDescent="0.3">
      <c r="G2580" s="24"/>
      <c r="I2580" s="24"/>
    </row>
    <row r="2581" spans="7:9" x14ac:dyDescent="0.3">
      <c r="G2581" s="24"/>
      <c r="I2581" s="24"/>
    </row>
    <row r="2582" spans="7:9" x14ac:dyDescent="0.3">
      <c r="G2582" s="24"/>
      <c r="I2582" s="24"/>
    </row>
    <row r="2583" spans="7:9" x14ac:dyDescent="0.3">
      <c r="G2583" s="24"/>
      <c r="I2583" s="24"/>
    </row>
    <row r="2584" spans="7:9" x14ac:dyDescent="0.3">
      <c r="G2584" s="24"/>
      <c r="I2584" s="24"/>
    </row>
    <row r="2585" spans="7:9" x14ac:dyDescent="0.3">
      <c r="G2585" s="24"/>
      <c r="I2585" s="24"/>
    </row>
    <row r="2586" spans="7:9" x14ac:dyDescent="0.3">
      <c r="G2586" s="24"/>
      <c r="I2586" s="24"/>
    </row>
    <row r="2587" spans="7:9" x14ac:dyDescent="0.3">
      <c r="G2587" s="24"/>
      <c r="I2587" s="24"/>
    </row>
    <row r="2588" spans="7:9" x14ac:dyDescent="0.3">
      <c r="G2588" s="24"/>
      <c r="I2588" s="24"/>
    </row>
    <row r="2589" spans="7:9" x14ac:dyDescent="0.3">
      <c r="G2589" s="24"/>
      <c r="I2589" s="24"/>
    </row>
    <row r="2590" spans="7:9" x14ac:dyDescent="0.3">
      <c r="G2590" s="24"/>
      <c r="I2590" s="24"/>
    </row>
    <row r="2591" spans="7:9" x14ac:dyDescent="0.3">
      <c r="G2591" s="24"/>
      <c r="I2591" s="24"/>
    </row>
    <row r="2592" spans="7:9" x14ac:dyDescent="0.3">
      <c r="G2592" s="24"/>
      <c r="I2592" s="24"/>
    </row>
    <row r="2593" spans="7:9" x14ac:dyDescent="0.3">
      <c r="G2593" s="24"/>
      <c r="I2593" s="24"/>
    </row>
    <row r="2594" spans="7:9" x14ac:dyDescent="0.3">
      <c r="G2594" s="24"/>
      <c r="I2594" s="24"/>
    </row>
    <row r="2595" spans="7:9" x14ac:dyDescent="0.3">
      <c r="G2595" s="24"/>
      <c r="I2595" s="24"/>
    </row>
    <row r="2596" spans="7:9" x14ac:dyDescent="0.3">
      <c r="G2596" s="24"/>
      <c r="I2596" s="24"/>
    </row>
    <row r="2597" spans="7:9" x14ac:dyDescent="0.3">
      <c r="G2597" s="24"/>
      <c r="I2597" s="24"/>
    </row>
    <row r="2598" spans="7:9" x14ac:dyDescent="0.3">
      <c r="G2598" s="24"/>
      <c r="I2598" s="24"/>
    </row>
    <row r="2599" spans="7:9" x14ac:dyDescent="0.3">
      <c r="G2599" s="24"/>
      <c r="I2599" s="24"/>
    </row>
    <row r="2600" spans="7:9" x14ac:dyDescent="0.3">
      <c r="G2600" s="24"/>
      <c r="I2600" s="24"/>
    </row>
    <row r="2601" spans="7:9" x14ac:dyDescent="0.3">
      <c r="G2601" s="24"/>
      <c r="I2601" s="24"/>
    </row>
    <row r="2602" spans="7:9" x14ac:dyDescent="0.3">
      <c r="G2602" s="24"/>
      <c r="I2602" s="24"/>
    </row>
    <row r="2603" spans="7:9" x14ac:dyDescent="0.3">
      <c r="G2603" s="24"/>
      <c r="I2603" s="24"/>
    </row>
    <row r="2604" spans="7:9" x14ac:dyDescent="0.3">
      <c r="G2604" s="24"/>
      <c r="I2604" s="24"/>
    </row>
    <row r="2605" spans="7:9" x14ac:dyDescent="0.3">
      <c r="G2605" s="24"/>
      <c r="I2605" s="24"/>
    </row>
    <row r="2606" spans="7:9" x14ac:dyDescent="0.3">
      <c r="G2606" s="24"/>
      <c r="I2606" s="24"/>
    </row>
    <row r="2607" spans="7:9" x14ac:dyDescent="0.3">
      <c r="G2607" s="24"/>
      <c r="I2607" s="24"/>
    </row>
    <row r="2608" spans="7:9" x14ac:dyDescent="0.3">
      <c r="G2608" s="24"/>
      <c r="I2608" s="24"/>
    </row>
    <row r="2609" spans="7:9" x14ac:dyDescent="0.3">
      <c r="G2609" s="24"/>
      <c r="I2609" s="24"/>
    </row>
    <row r="2610" spans="7:9" x14ac:dyDescent="0.3">
      <c r="G2610" s="24"/>
      <c r="I2610" s="24"/>
    </row>
    <row r="2611" spans="7:9" x14ac:dyDescent="0.3">
      <c r="G2611" s="24"/>
      <c r="I2611" s="24"/>
    </row>
    <row r="2612" spans="7:9" x14ac:dyDescent="0.3">
      <c r="G2612" s="24"/>
      <c r="I2612" s="24"/>
    </row>
    <row r="2613" spans="7:9" x14ac:dyDescent="0.3">
      <c r="G2613" s="24"/>
      <c r="I2613" s="24"/>
    </row>
    <row r="2614" spans="7:9" x14ac:dyDescent="0.3">
      <c r="G2614" s="24"/>
      <c r="I2614" s="24"/>
    </row>
    <row r="2615" spans="7:9" x14ac:dyDescent="0.3">
      <c r="G2615" s="24"/>
      <c r="I2615" s="24"/>
    </row>
    <row r="2616" spans="7:9" x14ac:dyDescent="0.3">
      <c r="G2616" s="24"/>
      <c r="I2616" s="24"/>
    </row>
    <row r="2617" spans="7:9" x14ac:dyDescent="0.3">
      <c r="G2617" s="24"/>
      <c r="I2617" s="24"/>
    </row>
    <row r="2618" spans="7:9" x14ac:dyDescent="0.3">
      <c r="G2618" s="24"/>
      <c r="I2618" s="24"/>
    </row>
    <row r="2619" spans="7:9" x14ac:dyDescent="0.3">
      <c r="G2619" s="24"/>
      <c r="I2619" s="24"/>
    </row>
    <row r="2620" spans="7:9" x14ac:dyDescent="0.3">
      <c r="G2620" s="24"/>
      <c r="I2620" s="24"/>
    </row>
    <row r="2621" spans="7:9" x14ac:dyDescent="0.3">
      <c r="G2621" s="24"/>
      <c r="I2621" s="24"/>
    </row>
    <row r="2622" spans="7:9" x14ac:dyDescent="0.3">
      <c r="G2622" s="24"/>
      <c r="I2622" s="24"/>
    </row>
    <row r="2623" spans="7:9" x14ac:dyDescent="0.3">
      <c r="G2623" s="24"/>
      <c r="I2623" s="24"/>
    </row>
    <row r="2624" spans="7:9" x14ac:dyDescent="0.3">
      <c r="G2624" s="24"/>
      <c r="I2624" s="24"/>
    </row>
    <row r="2625" spans="7:9" x14ac:dyDescent="0.3">
      <c r="G2625" s="24"/>
      <c r="I2625" s="24"/>
    </row>
    <row r="2626" spans="7:9" x14ac:dyDescent="0.3">
      <c r="G2626" s="24"/>
      <c r="I2626" s="24"/>
    </row>
    <row r="2627" spans="7:9" x14ac:dyDescent="0.3">
      <c r="G2627" s="24"/>
      <c r="I2627" s="24"/>
    </row>
    <row r="2628" spans="7:9" x14ac:dyDescent="0.3">
      <c r="G2628" s="24"/>
      <c r="I2628" s="24"/>
    </row>
    <row r="2629" spans="7:9" x14ac:dyDescent="0.3">
      <c r="G2629" s="24"/>
      <c r="I2629" s="24"/>
    </row>
    <row r="2630" spans="7:9" x14ac:dyDescent="0.3">
      <c r="G2630" s="24"/>
      <c r="I2630" s="24"/>
    </row>
    <row r="2631" spans="7:9" x14ac:dyDescent="0.3">
      <c r="G2631" s="24"/>
      <c r="I2631" s="24"/>
    </row>
    <row r="2632" spans="7:9" x14ac:dyDescent="0.3">
      <c r="G2632" s="24"/>
      <c r="I2632" s="24"/>
    </row>
    <row r="2633" spans="7:9" x14ac:dyDescent="0.3">
      <c r="G2633" s="24"/>
      <c r="I2633" s="24"/>
    </row>
    <row r="2634" spans="7:9" x14ac:dyDescent="0.3">
      <c r="G2634" s="24"/>
      <c r="I2634" s="24"/>
    </row>
    <row r="2635" spans="7:9" x14ac:dyDescent="0.3">
      <c r="G2635" s="24"/>
      <c r="I2635" s="24"/>
    </row>
    <row r="2636" spans="7:9" x14ac:dyDescent="0.3">
      <c r="G2636" s="24"/>
      <c r="I2636" s="24"/>
    </row>
    <row r="2637" spans="7:9" x14ac:dyDescent="0.3">
      <c r="G2637" s="24"/>
      <c r="I2637" s="24"/>
    </row>
    <row r="2638" spans="7:9" x14ac:dyDescent="0.3">
      <c r="G2638" s="24"/>
      <c r="I2638" s="24"/>
    </row>
    <row r="2639" spans="7:9" x14ac:dyDescent="0.3">
      <c r="G2639" s="24"/>
      <c r="I2639" s="24"/>
    </row>
    <row r="2640" spans="7:9" x14ac:dyDescent="0.3">
      <c r="G2640" s="24"/>
      <c r="I2640" s="24"/>
    </row>
    <row r="2641" spans="7:9" x14ac:dyDescent="0.3">
      <c r="G2641" s="24"/>
      <c r="I2641" s="24"/>
    </row>
    <row r="2642" spans="7:9" x14ac:dyDescent="0.3">
      <c r="G2642" s="24"/>
      <c r="I2642" s="24"/>
    </row>
    <row r="2643" spans="7:9" x14ac:dyDescent="0.3">
      <c r="G2643" s="24"/>
      <c r="I2643" s="24"/>
    </row>
    <row r="2644" spans="7:9" x14ac:dyDescent="0.3">
      <c r="G2644" s="24"/>
      <c r="I2644" s="24"/>
    </row>
    <row r="2645" spans="7:9" x14ac:dyDescent="0.3">
      <c r="G2645" s="24"/>
      <c r="I2645" s="24"/>
    </row>
    <row r="2646" spans="7:9" x14ac:dyDescent="0.3">
      <c r="G2646" s="24"/>
      <c r="I2646" s="24"/>
    </row>
    <row r="2647" spans="7:9" x14ac:dyDescent="0.3">
      <c r="G2647" s="24"/>
      <c r="I2647" s="24"/>
    </row>
    <row r="2648" spans="7:9" x14ac:dyDescent="0.3">
      <c r="G2648" s="24"/>
      <c r="I2648" s="24"/>
    </row>
    <row r="2649" spans="7:9" x14ac:dyDescent="0.3">
      <c r="G2649" s="24"/>
      <c r="I2649" s="24"/>
    </row>
    <row r="2650" spans="7:9" x14ac:dyDescent="0.3">
      <c r="G2650" s="24"/>
      <c r="I2650" s="24"/>
    </row>
    <row r="2651" spans="7:9" x14ac:dyDescent="0.3">
      <c r="G2651" s="24"/>
      <c r="I2651" s="24"/>
    </row>
    <row r="2652" spans="7:9" x14ac:dyDescent="0.3">
      <c r="G2652" s="24"/>
      <c r="I2652" s="24"/>
    </row>
    <row r="2653" spans="7:9" x14ac:dyDescent="0.3">
      <c r="G2653" s="24"/>
      <c r="I2653" s="24"/>
    </row>
    <row r="2654" spans="7:9" x14ac:dyDescent="0.3">
      <c r="G2654" s="24"/>
      <c r="I2654" s="24"/>
    </row>
    <row r="2655" spans="7:9" x14ac:dyDescent="0.3">
      <c r="G2655" s="24"/>
      <c r="I2655" s="24"/>
    </row>
    <row r="2656" spans="7:9" x14ac:dyDescent="0.3">
      <c r="G2656" s="24"/>
      <c r="I2656" s="24"/>
    </row>
    <row r="2657" spans="7:9" x14ac:dyDescent="0.3">
      <c r="G2657" s="24"/>
      <c r="I2657" s="24"/>
    </row>
    <row r="2658" spans="7:9" x14ac:dyDescent="0.3">
      <c r="G2658" s="24"/>
      <c r="I2658" s="24"/>
    </row>
    <row r="2659" spans="7:9" x14ac:dyDescent="0.3">
      <c r="G2659" s="24"/>
      <c r="I2659" s="24"/>
    </row>
    <row r="2660" spans="7:9" x14ac:dyDescent="0.3">
      <c r="G2660" s="24"/>
      <c r="I2660" s="24"/>
    </row>
    <row r="2661" spans="7:9" x14ac:dyDescent="0.3">
      <c r="G2661" s="24"/>
      <c r="I2661" s="24"/>
    </row>
    <row r="2662" spans="7:9" x14ac:dyDescent="0.3">
      <c r="G2662" s="24"/>
      <c r="I2662" s="24"/>
    </row>
    <row r="2663" spans="7:9" x14ac:dyDescent="0.3">
      <c r="G2663" s="24"/>
      <c r="I2663" s="24"/>
    </row>
    <row r="2664" spans="7:9" x14ac:dyDescent="0.3">
      <c r="G2664" s="24"/>
      <c r="I2664" s="24"/>
    </row>
    <row r="2665" spans="7:9" x14ac:dyDescent="0.3">
      <c r="G2665" s="24"/>
      <c r="I2665" s="24"/>
    </row>
    <row r="2666" spans="7:9" x14ac:dyDescent="0.3">
      <c r="G2666" s="24"/>
      <c r="I2666" s="24"/>
    </row>
    <row r="2667" spans="7:9" x14ac:dyDescent="0.3">
      <c r="G2667" s="24"/>
      <c r="I2667" s="24"/>
    </row>
    <row r="2668" spans="7:9" x14ac:dyDescent="0.3">
      <c r="G2668" s="24"/>
      <c r="I2668" s="24"/>
    </row>
    <row r="2669" spans="7:9" x14ac:dyDescent="0.3">
      <c r="G2669" s="24"/>
      <c r="I2669" s="24"/>
    </row>
    <row r="2670" spans="7:9" x14ac:dyDescent="0.3">
      <c r="G2670" s="24"/>
      <c r="I2670" s="24"/>
    </row>
    <row r="2671" spans="7:9" x14ac:dyDescent="0.3">
      <c r="G2671" s="24"/>
      <c r="I2671" s="24"/>
    </row>
    <row r="2672" spans="7:9" x14ac:dyDescent="0.3">
      <c r="G2672" s="24"/>
      <c r="I2672" s="24"/>
    </row>
    <row r="2673" spans="7:9" x14ac:dyDescent="0.3">
      <c r="G2673" s="24"/>
      <c r="I2673" s="24"/>
    </row>
    <row r="2674" spans="7:9" x14ac:dyDescent="0.3">
      <c r="G2674" s="24"/>
      <c r="I2674" s="24"/>
    </row>
    <row r="2675" spans="7:9" x14ac:dyDescent="0.3">
      <c r="G2675" s="24"/>
      <c r="I2675" s="24"/>
    </row>
    <row r="2676" spans="7:9" x14ac:dyDescent="0.3">
      <c r="G2676" s="24"/>
      <c r="I2676" s="24"/>
    </row>
    <row r="2677" spans="7:9" x14ac:dyDescent="0.3">
      <c r="G2677" s="24"/>
      <c r="I2677" s="24"/>
    </row>
    <row r="2678" spans="7:9" x14ac:dyDescent="0.3">
      <c r="G2678" s="24"/>
      <c r="I2678" s="24"/>
    </row>
    <row r="2679" spans="7:9" x14ac:dyDescent="0.3">
      <c r="G2679" s="24"/>
      <c r="I2679" s="24"/>
    </row>
    <row r="2680" spans="7:9" x14ac:dyDescent="0.3">
      <c r="G2680" s="24"/>
      <c r="I2680" s="24"/>
    </row>
    <row r="2681" spans="7:9" x14ac:dyDescent="0.3">
      <c r="G2681" s="24"/>
      <c r="I2681" s="24"/>
    </row>
    <row r="2682" spans="7:9" x14ac:dyDescent="0.3">
      <c r="G2682" s="24"/>
      <c r="I2682" s="24"/>
    </row>
    <row r="2683" spans="7:9" x14ac:dyDescent="0.3">
      <c r="G2683" s="24"/>
      <c r="I2683" s="24"/>
    </row>
    <row r="2684" spans="7:9" x14ac:dyDescent="0.3">
      <c r="G2684" s="24"/>
      <c r="I2684" s="24"/>
    </row>
    <row r="2685" spans="7:9" x14ac:dyDescent="0.3">
      <c r="G2685" s="24"/>
      <c r="I2685" s="24"/>
    </row>
    <row r="2686" spans="7:9" x14ac:dyDescent="0.3">
      <c r="G2686" s="24"/>
      <c r="I2686" s="24"/>
    </row>
    <row r="2687" spans="7:9" x14ac:dyDescent="0.3">
      <c r="G2687" s="24"/>
      <c r="I2687" s="24"/>
    </row>
    <row r="2688" spans="7:9" x14ac:dyDescent="0.3">
      <c r="G2688" s="24"/>
      <c r="I2688" s="24"/>
    </row>
    <row r="2689" spans="7:9" x14ac:dyDescent="0.3">
      <c r="G2689" s="24"/>
      <c r="I2689" s="24"/>
    </row>
    <row r="2690" spans="7:9" x14ac:dyDescent="0.3">
      <c r="G2690" s="24"/>
      <c r="I2690" s="24"/>
    </row>
    <row r="2691" spans="7:9" x14ac:dyDescent="0.3">
      <c r="G2691" s="24"/>
      <c r="I2691" s="24"/>
    </row>
    <row r="2692" spans="7:9" x14ac:dyDescent="0.3">
      <c r="G2692" s="24"/>
      <c r="I2692" s="24"/>
    </row>
    <row r="2693" spans="7:9" x14ac:dyDescent="0.3">
      <c r="G2693" s="24"/>
      <c r="I2693" s="24"/>
    </row>
    <row r="2694" spans="7:9" x14ac:dyDescent="0.3">
      <c r="G2694" s="24"/>
      <c r="I2694" s="24"/>
    </row>
    <row r="2695" spans="7:9" x14ac:dyDescent="0.3">
      <c r="G2695" s="24"/>
      <c r="I2695" s="24"/>
    </row>
    <row r="2696" spans="7:9" x14ac:dyDescent="0.3">
      <c r="G2696" s="24"/>
      <c r="I2696" s="24"/>
    </row>
    <row r="2697" spans="7:9" x14ac:dyDescent="0.3">
      <c r="G2697" s="24"/>
      <c r="I2697" s="24"/>
    </row>
    <row r="2698" spans="7:9" x14ac:dyDescent="0.3">
      <c r="G2698" s="24"/>
      <c r="I2698" s="24"/>
    </row>
    <row r="2699" spans="7:9" x14ac:dyDescent="0.3">
      <c r="G2699" s="24"/>
      <c r="I2699" s="24"/>
    </row>
    <row r="2700" spans="7:9" x14ac:dyDescent="0.3">
      <c r="G2700" s="24"/>
      <c r="I2700" s="24"/>
    </row>
    <row r="2701" spans="7:9" x14ac:dyDescent="0.3">
      <c r="G2701" s="24"/>
      <c r="I2701" s="24"/>
    </row>
    <row r="2702" spans="7:9" x14ac:dyDescent="0.3">
      <c r="G2702" s="24"/>
      <c r="I2702" s="24"/>
    </row>
    <row r="2703" spans="7:9" x14ac:dyDescent="0.3">
      <c r="G2703" s="24"/>
      <c r="I2703" s="24"/>
    </row>
    <row r="2704" spans="7:9" x14ac:dyDescent="0.3">
      <c r="G2704" s="24"/>
      <c r="I2704" s="24"/>
    </row>
    <row r="2705" spans="7:9" x14ac:dyDescent="0.3">
      <c r="G2705" s="24"/>
      <c r="I2705" s="24"/>
    </row>
    <row r="2706" spans="7:9" x14ac:dyDescent="0.3">
      <c r="G2706" s="24"/>
      <c r="I2706" s="24"/>
    </row>
    <row r="2707" spans="7:9" x14ac:dyDescent="0.3">
      <c r="G2707" s="24"/>
      <c r="I2707" s="24"/>
    </row>
    <row r="2708" spans="7:9" x14ac:dyDescent="0.3">
      <c r="G2708" s="24"/>
      <c r="I2708" s="24"/>
    </row>
    <row r="2709" spans="7:9" x14ac:dyDescent="0.3">
      <c r="G2709" s="24"/>
      <c r="I2709" s="24"/>
    </row>
    <row r="2710" spans="7:9" x14ac:dyDescent="0.3">
      <c r="G2710" s="24"/>
      <c r="I2710" s="24"/>
    </row>
    <row r="2711" spans="7:9" x14ac:dyDescent="0.3">
      <c r="G2711" s="24"/>
      <c r="I2711" s="24"/>
    </row>
    <row r="2712" spans="7:9" x14ac:dyDescent="0.3">
      <c r="G2712" s="24"/>
      <c r="I2712" s="24"/>
    </row>
    <row r="2713" spans="7:9" x14ac:dyDescent="0.3">
      <c r="G2713" s="24"/>
      <c r="I2713" s="24"/>
    </row>
    <row r="2714" spans="7:9" x14ac:dyDescent="0.3">
      <c r="G2714" s="24"/>
      <c r="I2714" s="24"/>
    </row>
    <row r="2715" spans="7:9" x14ac:dyDescent="0.3">
      <c r="G2715" s="24"/>
      <c r="I2715" s="24"/>
    </row>
    <row r="2716" spans="7:9" x14ac:dyDescent="0.3">
      <c r="G2716" s="24"/>
      <c r="I2716" s="24"/>
    </row>
    <row r="2717" spans="7:9" x14ac:dyDescent="0.3">
      <c r="G2717" s="24"/>
      <c r="I2717" s="24"/>
    </row>
    <row r="2718" spans="7:9" x14ac:dyDescent="0.3">
      <c r="G2718" s="24"/>
      <c r="I2718" s="24"/>
    </row>
    <row r="2719" spans="7:9" x14ac:dyDescent="0.3">
      <c r="G2719" s="24"/>
      <c r="I2719" s="24"/>
    </row>
    <row r="2720" spans="7:9" x14ac:dyDescent="0.3">
      <c r="G2720" s="24"/>
      <c r="I2720" s="24"/>
    </row>
    <row r="2721" spans="7:9" x14ac:dyDescent="0.3">
      <c r="G2721" s="24"/>
      <c r="I2721" s="24"/>
    </row>
    <row r="2722" spans="7:9" x14ac:dyDescent="0.3">
      <c r="G2722" s="24"/>
      <c r="I2722" s="24"/>
    </row>
    <row r="2723" spans="7:9" x14ac:dyDescent="0.3">
      <c r="G2723" s="24"/>
      <c r="I2723" s="24"/>
    </row>
    <row r="2724" spans="7:9" x14ac:dyDescent="0.3">
      <c r="G2724" s="24"/>
      <c r="I2724" s="24"/>
    </row>
    <row r="2725" spans="7:9" x14ac:dyDescent="0.3">
      <c r="G2725" s="24"/>
      <c r="I2725" s="24"/>
    </row>
    <row r="2726" spans="7:9" x14ac:dyDescent="0.3">
      <c r="G2726" s="24"/>
      <c r="I2726" s="24"/>
    </row>
    <row r="2727" spans="7:9" x14ac:dyDescent="0.3">
      <c r="G2727" s="24"/>
      <c r="I2727" s="24"/>
    </row>
    <row r="2728" spans="7:9" x14ac:dyDescent="0.3">
      <c r="G2728" s="24"/>
      <c r="I2728" s="24"/>
    </row>
    <row r="2729" spans="7:9" x14ac:dyDescent="0.3">
      <c r="G2729" s="24"/>
      <c r="I2729" s="24"/>
    </row>
    <row r="2730" spans="7:9" x14ac:dyDescent="0.3">
      <c r="G2730" s="24"/>
      <c r="I2730" s="24"/>
    </row>
    <row r="2731" spans="7:9" x14ac:dyDescent="0.3">
      <c r="G2731" s="24"/>
      <c r="I2731" s="24"/>
    </row>
    <row r="2732" spans="7:9" x14ac:dyDescent="0.3">
      <c r="G2732" s="24"/>
      <c r="I2732" s="24"/>
    </row>
    <row r="2733" spans="7:9" x14ac:dyDescent="0.3">
      <c r="G2733" s="24"/>
      <c r="I2733" s="24"/>
    </row>
    <row r="2734" spans="7:9" x14ac:dyDescent="0.3">
      <c r="G2734" s="24"/>
      <c r="I2734" s="24"/>
    </row>
    <row r="2735" spans="7:9" x14ac:dyDescent="0.3">
      <c r="G2735" s="24"/>
      <c r="I2735" s="24"/>
    </row>
    <row r="2736" spans="7:9" x14ac:dyDescent="0.3">
      <c r="G2736" s="24"/>
      <c r="I2736" s="24"/>
    </row>
    <row r="2737" spans="7:9" x14ac:dyDescent="0.3">
      <c r="G2737" s="24"/>
      <c r="I2737" s="24"/>
    </row>
    <row r="2738" spans="7:9" x14ac:dyDescent="0.3">
      <c r="G2738" s="24"/>
      <c r="I2738" s="24"/>
    </row>
    <row r="2739" spans="7:9" x14ac:dyDescent="0.3">
      <c r="G2739" s="24"/>
      <c r="I2739" s="24"/>
    </row>
    <row r="2740" spans="7:9" x14ac:dyDescent="0.3">
      <c r="G2740" s="24"/>
      <c r="I2740" s="24"/>
    </row>
    <row r="2741" spans="7:9" x14ac:dyDescent="0.3">
      <c r="G2741" s="24"/>
      <c r="I2741" s="24"/>
    </row>
    <row r="2742" spans="7:9" x14ac:dyDescent="0.3">
      <c r="G2742" s="24"/>
      <c r="I2742" s="24"/>
    </row>
    <row r="2743" spans="7:9" x14ac:dyDescent="0.3">
      <c r="G2743" s="24"/>
      <c r="I2743" s="24"/>
    </row>
    <row r="2744" spans="7:9" x14ac:dyDescent="0.3">
      <c r="G2744" s="24"/>
      <c r="I2744" s="24"/>
    </row>
    <row r="2745" spans="7:9" x14ac:dyDescent="0.3">
      <c r="G2745" s="24"/>
      <c r="I2745" s="24"/>
    </row>
    <row r="2746" spans="7:9" x14ac:dyDescent="0.3">
      <c r="G2746" s="24"/>
      <c r="I2746" s="24"/>
    </row>
    <row r="2747" spans="7:9" x14ac:dyDescent="0.3">
      <c r="G2747" s="24"/>
      <c r="I2747" s="24"/>
    </row>
    <row r="2748" spans="7:9" x14ac:dyDescent="0.3">
      <c r="G2748" s="24"/>
      <c r="I2748" s="24"/>
    </row>
    <row r="2749" spans="7:9" x14ac:dyDescent="0.3">
      <c r="G2749" s="24"/>
      <c r="I2749" s="24"/>
    </row>
    <row r="2750" spans="7:9" x14ac:dyDescent="0.3">
      <c r="G2750" s="24"/>
      <c r="I2750" s="24"/>
    </row>
    <row r="2751" spans="7:9" x14ac:dyDescent="0.3">
      <c r="G2751" s="24"/>
      <c r="I2751" s="24"/>
    </row>
    <row r="2752" spans="7:9" x14ac:dyDescent="0.3">
      <c r="G2752" s="24"/>
      <c r="I2752" s="24"/>
    </row>
    <row r="2753" spans="7:9" x14ac:dyDescent="0.3">
      <c r="G2753" s="24"/>
      <c r="I2753" s="24"/>
    </row>
    <row r="2754" spans="7:9" x14ac:dyDescent="0.3">
      <c r="G2754" s="24"/>
      <c r="I2754" s="24"/>
    </row>
    <row r="2755" spans="7:9" x14ac:dyDescent="0.3">
      <c r="G2755" s="24"/>
      <c r="I2755" s="24"/>
    </row>
    <row r="2756" spans="7:9" x14ac:dyDescent="0.3">
      <c r="G2756" s="24"/>
      <c r="I2756" s="24"/>
    </row>
    <row r="2757" spans="7:9" x14ac:dyDescent="0.3">
      <c r="G2757" s="24"/>
      <c r="I2757" s="24"/>
    </row>
    <row r="2758" spans="7:9" x14ac:dyDescent="0.3">
      <c r="G2758" s="24"/>
      <c r="I2758" s="24"/>
    </row>
    <row r="2759" spans="7:9" x14ac:dyDescent="0.3">
      <c r="G2759" s="24"/>
      <c r="I2759" s="24"/>
    </row>
    <row r="2760" spans="7:9" x14ac:dyDescent="0.3">
      <c r="G2760" s="24"/>
      <c r="I2760" s="24"/>
    </row>
    <row r="2761" spans="7:9" x14ac:dyDescent="0.3">
      <c r="G2761" s="24"/>
      <c r="I2761" s="24"/>
    </row>
    <row r="2762" spans="7:9" x14ac:dyDescent="0.3">
      <c r="G2762" s="24"/>
      <c r="I2762" s="24"/>
    </row>
    <row r="2763" spans="7:9" x14ac:dyDescent="0.3">
      <c r="G2763" s="24"/>
      <c r="I2763" s="24"/>
    </row>
    <row r="2764" spans="7:9" x14ac:dyDescent="0.3">
      <c r="G2764" s="24"/>
      <c r="I2764" s="24"/>
    </row>
    <row r="2765" spans="7:9" x14ac:dyDescent="0.3">
      <c r="G2765" s="24"/>
      <c r="I2765" s="24"/>
    </row>
    <row r="2766" spans="7:9" x14ac:dyDescent="0.3">
      <c r="G2766" s="24"/>
      <c r="I2766" s="24"/>
    </row>
    <row r="2767" spans="7:9" x14ac:dyDescent="0.3">
      <c r="G2767" s="24"/>
      <c r="I2767" s="24"/>
    </row>
    <row r="2768" spans="7:9" x14ac:dyDescent="0.3">
      <c r="G2768" s="24"/>
      <c r="I2768" s="24"/>
    </row>
    <row r="2769" spans="7:9" x14ac:dyDescent="0.3">
      <c r="G2769" s="24"/>
      <c r="I2769" s="24"/>
    </row>
    <row r="2770" spans="7:9" x14ac:dyDescent="0.3">
      <c r="G2770" s="24"/>
      <c r="I2770" s="24"/>
    </row>
    <row r="2771" spans="7:9" x14ac:dyDescent="0.3">
      <c r="G2771" s="24"/>
      <c r="I2771" s="24"/>
    </row>
    <row r="2772" spans="7:9" x14ac:dyDescent="0.3">
      <c r="G2772" s="24"/>
      <c r="I2772" s="24"/>
    </row>
    <row r="2773" spans="7:9" x14ac:dyDescent="0.3">
      <c r="G2773" s="24"/>
      <c r="I2773" s="24"/>
    </row>
    <row r="2774" spans="7:9" x14ac:dyDescent="0.3">
      <c r="G2774" s="24"/>
      <c r="I2774" s="24"/>
    </row>
    <row r="2775" spans="7:9" x14ac:dyDescent="0.3">
      <c r="G2775" s="24"/>
      <c r="I2775" s="24"/>
    </row>
    <row r="2776" spans="7:9" x14ac:dyDescent="0.3">
      <c r="G2776" s="24"/>
      <c r="I2776" s="24"/>
    </row>
    <row r="2777" spans="7:9" x14ac:dyDescent="0.3">
      <c r="G2777" s="24"/>
      <c r="I2777" s="24"/>
    </row>
    <row r="2778" spans="7:9" x14ac:dyDescent="0.3">
      <c r="G2778" s="24"/>
      <c r="I2778" s="24"/>
    </row>
    <row r="2779" spans="7:9" x14ac:dyDescent="0.3">
      <c r="G2779" s="24"/>
      <c r="I2779" s="24"/>
    </row>
    <row r="2780" spans="7:9" x14ac:dyDescent="0.3">
      <c r="G2780" s="24"/>
      <c r="I2780" s="24"/>
    </row>
    <row r="2781" spans="7:9" x14ac:dyDescent="0.3">
      <c r="G2781" s="24"/>
      <c r="I2781" s="24"/>
    </row>
    <row r="2782" spans="7:9" x14ac:dyDescent="0.3">
      <c r="G2782" s="24"/>
      <c r="I2782" s="24"/>
    </row>
    <row r="2783" spans="7:9" x14ac:dyDescent="0.3">
      <c r="G2783" s="24"/>
      <c r="I2783" s="24"/>
    </row>
    <row r="2784" spans="7:9" x14ac:dyDescent="0.3">
      <c r="G2784" s="24"/>
      <c r="I2784" s="24"/>
    </row>
    <row r="2785" spans="7:9" x14ac:dyDescent="0.3">
      <c r="G2785" s="24"/>
      <c r="I2785" s="24"/>
    </row>
    <row r="2786" spans="7:9" x14ac:dyDescent="0.3">
      <c r="G2786" s="24"/>
      <c r="I2786" s="24"/>
    </row>
    <row r="2787" spans="7:9" x14ac:dyDescent="0.3">
      <c r="G2787" s="24"/>
      <c r="I2787" s="24"/>
    </row>
    <row r="2788" spans="7:9" x14ac:dyDescent="0.3">
      <c r="G2788" s="24"/>
      <c r="I2788" s="24"/>
    </row>
    <row r="2789" spans="7:9" x14ac:dyDescent="0.3">
      <c r="G2789" s="24"/>
      <c r="I2789" s="24"/>
    </row>
    <row r="2790" spans="7:9" x14ac:dyDescent="0.3">
      <c r="G2790" s="24"/>
      <c r="I2790" s="24"/>
    </row>
    <row r="2791" spans="7:9" x14ac:dyDescent="0.3">
      <c r="G2791" s="24"/>
      <c r="I2791" s="24"/>
    </row>
    <row r="2792" spans="7:9" x14ac:dyDescent="0.3">
      <c r="G2792" s="24"/>
      <c r="I2792" s="24"/>
    </row>
    <row r="2793" spans="7:9" x14ac:dyDescent="0.3">
      <c r="G2793" s="24"/>
      <c r="I2793" s="24"/>
    </row>
    <row r="2794" spans="7:9" x14ac:dyDescent="0.3">
      <c r="G2794" s="24"/>
      <c r="I2794" s="24"/>
    </row>
    <row r="2795" spans="7:9" x14ac:dyDescent="0.3">
      <c r="G2795" s="24"/>
      <c r="I2795" s="24"/>
    </row>
    <row r="2796" spans="7:9" x14ac:dyDescent="0.3">
      <c r="G2796" s="24"/>
      <c r="I2796" s="24"/>
    </row>
    <row r="2797" spans="7:9" x14ac:dyDescent="0.3">
      <c r="G2797" s="24"/>
      <c r="I2797" s="24"/>
    </row>
    <row r="2798" spans="7:9" x14ac:dyDescent="0.3">
      <c r="G2798" s="24"/>
      <c r="I2798" s="24"/>
    </row>
    <row r="2799" spans="7:9" x14ac:dyDescent="0.3">
      <c r="G2799" s="24"/>
      <c r="I2799" s="24"/>
    </row>
    <row r="2800" spans="7:9" x14ac:dyDescent="0.3">
      <c r="G2800" s="24"/>
      <c r="I2800" s="24"/>
    </row>
    <row r="2801" spans="7:9" x14ac:dyDescent="0.3">
      <c r="G2801" s="24"/>
      <c r="I2801" s="24"/>
    </row>
    <row r="2802" spans="7:9" x14ac:dyDescent="0.3">
      <c r="G2802" s="24"/>
      <c r="I2802" s="24"/>
    </row>
    <row r="2803" spans="7:9" x14ac:dyDescent="0.3">
      <c r="G2803" s="24"/>
      <c r="I2803" s="24"/>
    </row>
    <row r="2804" spans="7:9" x14ac:dyDescent="0.3">
      <c r="G2804" s="24"/>
      <c r="I2804" s="24"/>
    </row>
    <row r="2805" spans="7:9" x14ac:dyDescent="0.3">
      <c r="G2805" s="24"/>
      <c r="I2805" s="24"/>
    </row>
    <row r="2806" spans="7:9" x14ac:dyDescent="0.3">
      <c r="G2806" s="24"/>
      <c r="I2806" s="24"/>
    </row>
    <row r="2807" spans="7:9" x14ac:dyDescent="0.3">
      <c r="G2807" s="24"/>
      <c r="I2807" s="24"/>
    </row>
    <row r="2808" spans="7:9" x14ac:dyDescent="0.3">
      <c r="G2808" s="24"/>
      <c r="I2808" s="24"/>
    </row>
    <row r="2809" spans="7:9" x14ac:dyDescent="0.3">
      <c r="G2809" s="24"/>
      <c r="I2809" s="24"/>
    </row>
    <row r="2810" spans="7:9" x14ac:dyDescent="0.3">
      <c r="G2810" s="24"/>
      <c r="I2810" s="24"/>
    </row>
    <row r="2811" spans="7:9" x14ac:dyDescent="0.3">
      <c r="G2811" s="24"/>
      <c r="I2811" s="24"/>
    </row>
    <row r="2812" spans="7:9" x14ac:dyDescent="0.3">
      <c r="G2812" s="24"/>
      <c r="I2812" s="24"/>
    </row>
    <row r="2813" spans="7:9" x14ac:dyDescent="0.3">
      <c r="G2813" s="24"/>
      <c r="I2813" s="24"/>
    </row>
    <row r="2814" spans="7:9" x14ac:dyDescent="0.3">
      <c r="G2814" s="24"/>
      <c r="I2814" s="24"/>
    </row>
    <row r="2815" spans="7:9" x14ac:dyDescent="0.3">
      <c r="G2815" s="24"/>
      <c r="I2815" s="24"/>
    </row>
    <row r="2816" spans="7:9" x14ac:dyDescent="0.3">
      <c r="G2816" s="24"/>
      <c r="I2816" s="24"/>
    </row>
    <row r="2817" spans="7:9" x14ac:dyDescent="0.3">
      <c r="G2817" s="24"/>
      <c r="I2817" s="24"/>
    </row>
    <row r="2818" spans="7:9" x14ac:dyDescent="0.3">
      <c r="G2818" s="24"/>
      <c r="I2818" s="24"/>
    </row>
    <row r="2819" spans="7:9" x14ac:dyDescent="0.3">
      <c r="G2819" s="24"/>
      <c r="I2819" s="24"/>
    </row>
    <row r="2820" spans="7:9" x14ac:dyDescent="0.3">
      <c r="G2820" s="24"/>
      <c r="I2820" s="24"/>
    </row>
    <row r="2821" spans="7:9" x14ac:dyDescent="0.3">
      <c r="G2821" s="24"/>
      <c r="I2821" s="24"/>
    </row>
    <row r="2822" spans="7:9" x14ac:dyDescent="0.3">
      <c r="G2822" s="24"/>
      <c r="I2822" s="24"/>
    </row>
    <row r="2823" spans="7:9" x14ac:dyDescent="0.3">
      <c r="G2823" s="24"/>
      <c r="I2823" s="24"/>
    </row>
    <row r="2824" spans="7:9" x14ac:dyDescent="0.3">
      <c r="G2824" s="24"/>
      <c r="I2824" s="24"/>
    </row>
    <row r="2825" spans="7:9" x14ac:dyDescent="0.3">
      <c r="G2825" s="24"/>
      <c r="I2825" s="24"/>
    </row>
    <row r="2826" spans="7:9" x14ac:dyDescent="0.3">
      <c r="G2826" s="24"/>
      <c r="I2826" s="24"/>
    </row>
    <row r="2827" spans="7:9" x14ac:dyDescent="0.3">
      <c r="G2827" s="24"/>
      <c r="I2827" s="24"/>
    </row>
    <row r="2828" spans="7:9" x14ac:dyDescent="0.3">
      <c r="G2828" s="24"/>
      <c r="I2828" s="24"/>
    </row>
    <row r="2829" spans="7:9" x14ac:dyDescent="0.3">
      <c r="G2829" s="24"/>
      <c r="I2829" s="24"/>
    </row>
    <row r="2830" spans="7:9" x14ac:dyDescent="0.3">
      <c r="G2830" s="24"/>
      <c r="I2830" s="24"/>
    </row>
    <row r="2831" spans="7:9" x14ac:dyDescent="0.3">
      <c r="G2831" s="24"/>
      <c r="I2831" s="24"/>
    </row>
    <row r="2832" spans="7:9" x14ac:dyDescent="0.3">
      <c r="G2832" s="24"/>
      <c r="I2832" s="24"/>
    </row>
    <row r="2833" spans="7:9" x14ac:dyDescent="0.3">
      <c r="G2833" s="24"/>
      <c r="I2833" s="24"/>
    </row>
    <row r="2834" spans="7:9" x14ac:dyDescent="0.3">
      <c r="G2834" s="24"/>
      <c r="I2834" s="24"/>
    </row>
    <row r="2835" spans="7:9" x14ac:dyDescent="0.3">
      <c r="G2835" s="24"/>
      <c r="I2835" s="24"/>
    </row>
    <row r="2836" spans="7:9" x14ac:dyDescent="0.3">
      <c r="G2836" s="24"/>
      <c r="I2836" s="24"/>
    </row>
    <row r="2837" spans="7:9" x14ac:dyDescent="0.3">
      <c r="G2837" s="24"/>
      <c r="I2837" s="24"/>
    </row>
    <row r="2838" spans="7:9" x14ac:dyDescent="0.3">
      <c r="G2838" s="24"/>
      <c r="I2838" s="24"/>
    </row>
    <row r="2839" spans="7:9" x14ac:dyDescent="0.3">
      <c r="G2839" s="24"/>
      <c r="I2839" s="24"/>
    </row>
    <row r="2840" spans="7:9" x14ac:dyDescent="0.3">
      <c r="G2840" s="24"/>
      <c r="I2840" s="24"/>
    </row>
    <row r="2841" spans="7:9" x14ac:dyDescent="0.3">
      <c r="G2841" s="24"/>
      <c r="I2841" s="24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M876"/>
  <sheetViews>
    <sheetView zoomScale="90" zoomScaleNormal="90" workbookViewId="0">
      <selection activeCell="C6" sqref="C6"/>
    </sheetView>
  </sheetViews>
  <sheetFormatPr baseColWidth="10" defaultRowHeight="14.4" x14ac:dyDescent="0.3"/>
  <cols>
    <col min="1" max="1" width="14" customWidth="1"/>
    <col min="2" max="2" width="42.33203125" bestFit="1" customWidth="1"/>
    <col min="3" max="3" width="46.88671875" bestFit="1" customWidth="1"/>
    <col min="4" max="4" width="25.109375" bestFit="1" customWidth="1"/>
    <col min="5" max="5" width="16.109375" customWidth="1"/>
  </cols>
  <sheetData>
    <row r="1" spans="1:5" ht="15.6" x14ac:dyDescent="0.3">
      <c r="A1" s="33" t="s">
        <v>12</v>
      </c>
      <c r="B1" s="33" t="s">
        <v>13</v>
      </c>
      <c r="C1" s="33" t="s">
        <v>14</v>
      </c>
      <c r="D1" s="33" t="s">
        <v>17</v>
      </c>
      <c r="E1" s="33" t="s">
        <v>43</v>
      </c>
    </row>
    <row r="2" spans="1:5" x14ac:dyDescent="0.3">
      <c r="A2">
        <v>1000913723</v>
      </c>
      <c r="B2" t="s">
        <v>44</v>
      </c>
      <c r="C2" t="s">
        <v>45</v>
      </c>
      <c r="D2" t="s">
        <v>46</v>
      </c>
      <c r="E2" t="s">
        <v>47</v>
      </c>
    </row>
    <row r="3" spans="1:5" x14ac:dyDescent="0.3">
      <c r="A3">
        <v>1001021475</v>
      </c>
      <c r="B3" t="s">
        <v>48</v>
      </c>
      <c r="C3" t="s">
        <v>45</v>
      </c>
      <c r="D3" t="s">
        <v>46</v>
      </c>
      <c r="E3" t="s">
        <v>47</v>
      </c>
    </row>
    <row r="4" spans="1:5" x14ac:dyDescent="0.3">
      <c r="A4">
        <v>1001021859</v>
      </c>
      <c r="B4" t="s">
        <v>49</v>
      </c>
      <c r="C4" t="s">
        <v>45</v>
      </c>
      <c r="D4" t="s">
        <v>50</v>
      </c>
      <c r="E4" t="s">
        <v>47</v>
      </c>
    </row>
    <row r="5" spans="1:5" x14ac:dyDescent="0.3">
      <c r="A5">
        <v>1001023371</v>
      </c>
      <c r="B5" t="s">
        <v>51</v>
      </c>
      <c r="C5" t="s">
        <v>52</v>
      </c>
      <c r="D5" t="s">
        <v>46</v>
      </c>
      <c r="E5" t="s">
        <v>47</v>
      </c>
    </row>
    <row r="6" spans="1:5" x14ac:dyDescent="0.3">
      <c r="A6">
        <v>1001023954</v>
      </c>
      <c r="B6" t="s">
        <v>53</v>
      </c>
      <c r="C6" t="s">
        <v>45</v>
      </c>
      <c r="D6" t="s">
        <v>46</v>
      </c>
      <c r="E6" t="s">
        <v>47</v>
      </c>
    </row>
    <row r="7" spans="1:5" x14ac:dyDescent="0.3">
      <c r="A7">
        <v>1001024117</v>
      </c>
      <c r="B7" t="s">
        <v>54</v>
      </c>
      <c r="C7" t="s">
        <v>55</v>
      </c>
      <c r="D7" t="s">
        <v>46</v>
      </c>
      <c r="E7" t="s">
        <v>47</v>
      </c>
    </row>
    <row r="8" spans="1:5" x14ac:dyDescent="0.3">
      <c r="A8">
        <v>1001024629</v>
      </c>
      <c r="B8" t="s">
        <v>56</v>
      </c>
      <c r="C8" t="s">
        <v>57</v>
      </c>
      <c r="D8" t="s">
        <v>58</v>
      </c>
      <c r="E8" t="s">
        <v>47</v>
      </c>
    </row>
    <row r="9" spans="1:5" x14ac:dyDescent="0.3">
      <c r="A9">
        <v>1001030481</v>
      </c>
      <c r="B9" t="s">
        <v>59</v>
      </c>
      <c r="C9" t="s">
        <v>60</v>
      </c>
      <c r="D9" t="s">
        <v>61</v>
      </c>
      <c r="E9" t="s">
        <v>47</v>
      </c>
    </row>
    <row r="10" spans="1:5" x14ac:dyDescent="0.3">
      <c r="A10">
        <v>1001033687</v>
      </c>
      <c r="B10" t="s">
        <v>62</v>
      </c>
      <c r="C10" t="s">
        <v>63</v>
      </c>
      <c r="D10" t="s">
        <v>46</v>
      </c>
      <c r="E10" t="s">
        <v>47</v>
      </c>
    </row>
    <row r="11" spans="1:5" x14ac:dyDescent="0.3">
      <c r="A11">
        <v>1001034615</v>
      </c>
      <c r="B11" t="s">
        <v>64</v>
      </c>
      <c r="C11" t="s">
        <v>63</v>
      </c>
      <c r="D11" t="s">
        <v>46</v>
      </c>
      <c r="E11" t="s">
        <v>47</v>
      </c>
    </row>
    <row r="12" spans="1:5" x14ac:dyDescent="0.3">
      <c r="A12">
        <v>1001035515</v>
      </c>
      <c r="B12" t="s">
        <v>65</v>
      </c>
      <c r="C12" t="s">
        <v>45</v>
      </c>
      <c r="D12" t="s">
        <v>66</v>
      </c>
      <c r="E12" t="s">
        <v>67</v>
      </c>
    </row>
    <row r="13" spans="1:5" x14ac:dyDescent="0.3">
      <c r="A13">
        <v>1001153524</v>
      </c>
      <c r="B13" t="s">
        <v>68</v>
      </c>
      <c r="C13" t="s">
        <v>60</v>
      </c>
      <c r="D13" t="s">
        <v>61</v>
      </c>
      <c r="E13" t="s">
        <v>47</v>
      </c>
    </row>
    <row r="14" spans="1:5" x14ac:dyDescent="0.3">
      <c r="A14">
        <v>1001154301</v>
      </c>
      <c r="B14" t="s">
        <v>69</v>
      </c>
      <c r="C14" t="s">
        <v>45</v>
      </c>
      <c r="D14" t="s">
        <v>46</v>
      </c>
      <c r="E14" t="s">
        <v>47</v>
      </c>
    </row>
    <row r="15" spans="1:5" x14ac:dyDescent="0.3">
      <c r="A15">
        <v>1001162345</v>
      </c>
      <c r="B15" t="s">
        <v>70</v>
      </c>
      <c r="C15" t="s">
        <v>45</v>
      </c>
      <c r="D15" t="s">
        <v>71</v>
      </c>
      <c r="E15" t="s">
        <v>67</v>
      </c>
    </row>
    <row r="16" spans="1:5" x14ac:dyDescent="0.3">
      <c r="A16">
        <v>1001534407</v>
      </c>
      <c r="B16" t="s">
        <v>72</v>
      </c>
      <c r="C16" t="s">
        <v>45</v>
      </c>
      <c r="D16" t="s">
        <v>66</v>
      </c>
      <c r="E16" t="s">
        <v>67</v>
      </c>
    </row>
    <row r="17" spans="1:5" x14ac:dyDescent="0.3">
      <c r="A17">
        <v>1001549851</v>
      </c>
      <c r="B17" t="s">
        <v>73</v>
      </c>
      <c r="C17" t="s">
        <v>45</v>
      </c>
      <c r="D17" t="s">
        <v>74</v>
      </c>
      <c r="E17" t="s">
        <v>67</v>
      </c>
    </row>
    <row r="18" spans="1:5" x14ac:dyDescent="0.3">
      <c r="A18">
        <v>1001551358</v>
      </c>
      <c r="B18" t="s">
        <v>75</v>
      </c>
      <c r="C18" t="s">
        <v>45</v>
      </c>
      <c r="D18" t="s">
        <v>74</v>
      </c>
      <c r="E18" t="s">
        <v>67</v>
      </c>
    </row>
    <row r="19" spans="1:5" x14ac:dyDescent="0.3">
      <c r="A19">
        <v>1001593194</v>
      </c>
      <c r="B19" t="s">
        <v>76</v>
      </c>
      <c r="C19" t="s">
        <v>45</v>
      </c>
      <c r="D19" t="s">
        <v>77</v>
      </c>
      <c r="E19" t="s">
        <v>47</v>
      </c>
    </row>
    <row r="20" spans="1:5" x14ac:dyDescent="0.3">
      <c r="A20">
        <v>1001597522</v>
      </c>
      <c r="B20" t="s">
        <v>78</v>
      </c>
      <c r="C20" t="s">
        <v>45</v>
      </c>
      <c r="D20" t="s">
        <v>77</v>
      </c>
      <c r="E20" t="s">
        <v>47</v>
      </c>
    </row>
    <row r="21" spans="1:5" x14ac:dyDescent="0.3">
      <c r="A21">
        <v>1001747625</v>
      </c>
      <c r="B21" t="s">
        <v>79</v>
      </c>
      <c r="C21" t="s">
        <v>45</v>
      </c>
      <c r="D21" t="s">
        <v>46</v>
      </c>
      <c r="E21" t="s">
        <v>47</v>
      </c>
    </row>
    <row r="22" spans="1:5" x14ac:dyDescent="0.3">
      <c r="A22">
        <v>1002086794</v>
      </c>
      <c r="B22" t="s">
        <v>80</v>
      </c>
      <c r="C22" t="s">
        <v>45</v>
      </c>
      <c r="D22" t="s">
        <v>50</v>
      </c>
      <c r="E22" t="s">
        <v>47</v>
      </c>
    </row>
    <row r="23" spans="1:5" x14ac:dyDescent="0.3">
      <c r="A23">
        <v>1002087435</v>
      </c>
      <c r="B23" t="s">
        <v>81</v>
      </c>
      <c r="C23" t="s">
        <v>57</v>
      </c>
      <c r="D23" t="s">
        <v>58</v>
      </c>
      <c r="E23" t="s">
        <v>47</v>
      </c>
    </row>
    <row r="24" spans="1:5" x14ac:dyDescent="0.3">
      <c r="A24">
        <v>1002088024</v>
      </c>
      <c r="B24" t="s">
        <v>82</v>
      </c>
      <c r="C24" t="s">
        <v>83</v>
      </c>
      <c r="D24" t="s">
        <v>46</v>
      </c>
      <c r="E24" t="s">
        <v>47</v>
      </c>
    </row>
    <row r="25" spans="1:5" x14ac:dyDescent="0.3">
      <c r="A25">
        <v>1002488386</v>
      </c>
      <c r="B25" t="s">
        <v>84</v>
      </c>
      <c r="C25" t="s">
        <v>45</v>
      </c>
      <c r="D25" t="s">
        <v>85</v>
      </c>
      <c r="E25" t="s">
        <v>67</v>
      </c>
    </row>
    <row r="26" spans="1:5" x14ac:dyDescent="0.3">
      <c r="A26">
        <v>1002998523</v>
      </c>
      <c r="B26" t="s">
        <v>86</v>
      </c>
      <c r="C26" t="s">
        <v>87</v>
      </c>
      <c r="D26" t="s">
        <v>88</v>
      </c>
      <c r="E26" t="s">
        <v>89</v>
      </c>
    </row>
    <row r="27" spans="1:5" x14ac:dyDescent="0.3">
      <c r="A27">
        <v>1003193619</v>
      </c>
      <c r="B27" t="s">
        <v>90</v>
      </c>
      <c r="C27" t="s">
        <v>91</v>
      </c>
      <c r="D27" t="s">
        <v>89</v>
      </c>
      <c r="E27" t="s">
        <v>89</v>
      </c>
    </row>
    <row r="28" spans="1:5" x14ac:dyDescent="0.3">
      <c r="A28">
        <v>1003360791</v>
      </c>
      <c r="B28" t="s">
        <v>92</v>
      </c>
      <c r="C28" t="s">
        <v>45</v>
      </c>
      <c r="D28" t="s">
        <v>66</v>
      </c>
      <c r="E28" t="s">
        <v>67</v>
      </c>
    </row>
    <row r="29" spans="1:5" x14ac:dyDescent="0.3">
      <c r="A29">
        <v>1003451618</v>
      </c>
      <c r="B29" t="s">
        <v>93</v>
      </c>
      <c r="C29" t="s">
        <v>45</v>
      </c>
      <c r="D29" t="s">
        <v>77</v>
      </c>
      <c r="E29" t="s">
        <v>47</v>
      </c>
    </row>
    <row r="30" spans="1:5" x14ac:dyDescent="0.3">
      <c r="A30">
        <v>1003787176</v>
      </c>
      <c r="B30" t="s">
        <v>94</v>
      </c>
      <c r="C30" t="s">
        <v>45</v>
      </c>
      <c r="D30" t="s">
        <v>46</v>
      </c>
      <c r="E30" t="s">
        <v>47</v>
      </c>
    </row>
    <row r="31" spans="1:5" x14ac:dyDescent="0.3">
      <c r="A31">
        <v>1007131302</v>
      </c>
      <c r="B31" t="s">
        <v>95</v>
      </c>
      <c r="C31" t="s">
        <v>57</v>
      </c>
      <c r="D31" t="s">
        <v>58</v>
      </c>
      <c r="E31" t="s">
        <v>47</v>
      </c>
    </row>
    <row r="32" spans="1:5" x14ac:dyDescent="0.3">
      <c r="A32">
        <v>1007259289</v>
      </c>
      <c r="B32" t="s">
        <v>96</v>
      </c>
      <c r="C32" t="s">
        <v>45</v>
      </c>
      <c r="D32" t="s">
        <v>97</v>
      </c>
      <c r="E32" t="s">
        <v>67</v>
      </c>
    </row>
    <row r="33" spans="1:5" x14ac:dyDescent="0.3">
      <c r="A33">
        <v>1007259494</v>
      </c>
      <c r="B33" t="s">
        <v>98</v>
      </c>
      <c r="C33" t="s">
        <v>45</v>
      </c>
      <c r="D33" t="s">
        <v>66</v>
      </c>
      <c r="E33" t="s">
        <v>67</v>
      </c>
    </row>
    <row r="34" spans="1:5" x14ac:dyDescent="0.3">
      <c r="A34">
        <v>1007259852</v>
      </c>
      <c r="B34" t="s">
        <v>99</v>
      </c>
      <c r="C34" t="s">
        <v>100</v>
      </c>
      <c r="D34" t="s">
        <v>101</v>
      </c>
      <c r="E34" t="s">
        <v>67</v>
      </c>
    </row>
    <row r="35" spans="1:5" x14ac:dyDescent="0.3">
      <c r="A35">
        <v>1007259868</v>
      </c>
      <c r="B35" t="s">
        <v>102</v>
      </c>
      <c r="C35" t="s">
        <v>45</v>
      </c>
      <c r="D35" t="s">
        <v>66</v>
      </c>
      <c r="E35" t="s">
        <v>67</v>
      </c>
    </row>
    <row r="36" spans="1:5" x14ac:dyDescent="0.3">
      <c r="A36">
        <v>1007350657</v>
      </c>
      <c r="B36" t="s">
        <v>103</v>
      </c>
      <c r="C36" t="s">
        <v>45</v>
      </c>
      <c r="D36" t="s">
        <v>66</v>
      </c>
      <c r="E36" t="s">
        <v>67</v>
      </c>
    </row>
    <row r="37" spans="1:5" x14ac:dyDescent="0.3">
      <c r="A37">
        <v>1007413578</v>
      </c>
      <c r="B37" t="s">
        <v>104</v>
      </c>
      <c r="C37" t="s">
        <v>52</v>
      </c>
      <c r="D37" t="s">
        <v>46</v>
      </c>
      <c r="E37" t="s">
        <v>47</v>
      </c>
    </row>
    <row r="38" spans="1:5" x14ac:dyDescent="0.3">
      <c r="A38">
        <v>1007444694</v>
      </c>
      <c r="B38" t="s">
        <v>105</v>
      </c>
      <c r="C38" t="s">
        <v>106</v>
      </c>
      <c r="D38" t="s">
        <v>66</v>
      </c>
      <c r="E38" t="s">
        <v>67</v>
      </c>
    </row>
    <row r="39" spans="1:5" x14ac:dyDescent="0.3">
      <c r="A39">
        <v>1007504045</v>
      </c>
      <c r="B39" t="s">
        <v>107</v>
      </c>
      <c r="C39" t="s">
        <v>45</v>
      </c>
      <c r="D39" t="s">
        <v>50</v>
      </c>
      <c r="E39" t="s">
        <v>47</v>
      </c>
    </row>
    <row r="40" spans="1:5" x14ac:dyDescent="0.3">
      <c r="A40">
        <v>1007564807</v>
      </c>
      <c r="B40" t="s">
        <v>108</v>
      </c>
      <c r="C40" t="s">
        <v>45</v>
      </c>
      <c r="D40" t="s">
        <v>66</v>
      </c>
      <c r="E40" t="s">
        <v>67</v>
      </c>
    </row>
    <row r="41" spans="1:5" x14ac:dyDescent="0.3">
      <c r="A41">
        <v>1007567849</v>
      </c>
      <c r="B41" t="s">
        <v>109</v>
      </c>
      <c r="C41" t="s">
        <v>55</v>
      </c>
      <c r="D41" t="s">
        <v>58</v>
      </c>
      <c r="E41" t="s">
        <v>47</v>
      </c>
    </row>
    <row r="42" spans="1:5" x14ac:dyDescent="0.3">
      <c r="A42">
        <v>1007625432</v>
      </c>
      <c r="B42" t="s">
        <v>110</v>
      </c>
      <c r="C42" t="s">
        <v>45</v>
      </c>
      <c r="D42" t="s">
        <v>97</v>
      </c>
      <c r="E42" t="s">
        <v>67</v>
      </c>
    </row>
    <row r="43" spans="1:5" x14ac:dyDescent="0.3">
      <c r="A43">
        <v>1007625736</v>
      </c>
      <c r="B43" t="s">
        <v>111</v>
      </c>
      <c r="C43" t="s">
        <v>45</v>
      </c>
      <c r="D43" t="s">
        <v>66</v>
      </c>
      <c r="E43" t="s">
        <v>67</v>
      </c>
    </row>
    <row r="44" spans="1:5" x14ac:dyDescent="0.3">
      <c r="A44">
        <v>1007649562</v>
      </c>
      <c r="B44" t="s">
        <v>112</v>
      </c>
      <c r="C44" t="s">
        <v>45</v>
      </c>
      <c r="D44" t="s">
        <v>50</v>
      </c>
      <c r="E44" t="s">
        <v>47</v>
      </c>
    </row>
    <row r="45" spans="1:5" x14ac:dyDescent="0.3">
      <c r="A45">
        <v>1007666793</v>
      </c>
      <c r="B45" t="s">
        <v>113</v>
      </c>
      <c r="C45" t="s">
        <v>45</v>
      </c>
      <c r="D45" t="s">
        <v>66</v>
      </c>
      <c r="E45" t="s">
        <v>67</v>
      </c>
    </row>
    <row r="46" spans="1:5" x14ac:dyDescent="0.3">
      <c r="A46">
        <v>1007674319</v>
      </c>
      <c r="B46" t="s">
        <v>114</v>
      </c>
      <c r="C46" t="s">
        <v>52</v>
      </c>
      <c r="D46" t="s">
        <v>46</v>
      </c>
      <c r="E46" t="s">
        <v>47</v>
      </c>
    </row>
    <row r="47" spans="1:5" x14ac:dyDescent="0.3">
      <c r="A47">
        <v>1007697540</v>
      </c>
      <c r="B47" t="s">
        <v>115</v>
      </c>
      <c r="C47" t="s">
        <v>45</v>
      </c>
      <c r="D47" t="s">
        <v>66</v>
      </c>
      <c r="E47" t="s">
        <v>67</v>
      </c>
    </row>
    <row r="48" spans="1:5" x14ac:dyDescent="0.3">
      <c r="A48">
        <v>1007743110</v>
      </c>
      <c r="B48" t="s">
        <v>116</v>
      </c>
      <c r="C48" t="s">
        <v>45</v>
      </c>
      <c r="D48" t="s">
        <v>66</v>
      </c>
      <c r="E48" t="s">
        <v>67</v>
      </c>
    </row>
    <row r="49" spans="1:5" x14ac:dyDescent="0.3">
      <c r="A49">
        <v>1007768466</v>
      </c>
      <c r="B49" t="s">
        <v>117</v>
      </c>
      <c r="C49" t="s">
        <v>83</v>
      </c>
      <c r="D49" t="s">
        <v>66</v>
      </c>
      <c r="E49" t="s">
        <v>67</v>
      </c>
    </row>
    <row r="50" spans="1:5" x14ac:dyDescent="0.3">
      <c r="A50">
        <v>1007815738</v>
      </c>
      <c r="B50" t="s">
        <v>118</v>
      </c>
      <c r="C50" t="s">
        <v>45</v>
      </c>
      <c r="D50" t="s">
        <v>50</v>
      </c>
      <c r="E50" t="s">
        <v>47</v>
      </c>
    </row>
    <row r="51" spans="1:5" x14ac:dyDescent="0.3">
      <c r="A51">
        <v>1007815989</v>
      </c>
      <c r="B51" t="s">
        <v>119</v>
      </c>
      <c r="C51" t="s">
        <v>45</v>
      </c>
      <c r="D51" t="s">
        <v>50</v>
      </c>
      <c r="E51" t="s">
        <v>47</v>
      </c>
    </row>
    <row r="52" spans="1:5" x14ac:dyDescent="0.3">
      <c r="A52">
        <v>1007847671</v>
      </c>
      <c r="B52" t="s">
        <v>120</v>
      </c>
      <c r="C52" t="s">
        <v>45</v>
      </c>
      <c r="D52" t="s">
        <v>50</v>
      </c>
      <c r="E52" t="s">
        <v>47</v>
      </c>
    </row>
    <row r="53" spans="1:5" x14ac:dyDescent="0.3">
      <c r="A53">
        <v>1007847678</v>
      </c>
      <c r="B53" t="s">
        <v>121</v>
      </c>
      <c r="C53" t="s">
        <v>45</v>
      </c>
      <c r="D53" t="s">
        <v>50</v>
      </c>
      <c r="E53" t="s">
        <v>47</v>
      </c>
    </row>
    <row r="54" spans="1:5" x14ac:dyDescent="0.3">
      <c r="A54">
        <v>1007855070</v>
      </c>
      <c r="B54" t="s">
        <v>122</v>
      </c>
      <c r="C54" t="s">
        <v>45</v>
      </c>
      <c r="D54" t="s">
        <v>50</v>
      </c>
      <c r="E54" t="s">
        <v>47</v>
      </c>
    </row>
    <row r="55" spans="1:5" x14ac:dyDescent="0.3">
      <c r="A55">
        <v>1007881664</v>
      </c>
      <c r="B55" t="s">
        <v>123</v>
      </c>
      <c r="C55" t="s">
        <v>57</v>
      </c>
      <c r="D55" t="s">
        <v>58</v>
      </c>
      <c r="E55" t="s">
        <v>47</v>
      </c>
    </row>
    <row r="56" spans="1:5" x14ac:dyDescent="0.3">
      <c r="A56">
        <v>1007901146</v>
      </c>
      <c r="B56" t="s">
        <v>124</v>
      </c>
      <c r="C56" t="s">
        <v>45</v>
      </c>
      <c r="D56" t="s">
        <v>66</v>
      </c>
      <c r="E56" t="s">
        <v>67</v>
      </c>
    </row>
    <row r="57" spans="1:5" x14ac:dyDescent="0.3">
      <c r="A57">
        <v>1010109967</v>
      </c>
      <c r="B57" t="s">
        <v>125</v>
      </c>
      <c r="C57" t="s">
        <v>126</v>
      </c>
      <c r="D57" t="s">
        <v>85</v>
      </c>
      <c r="E57" t="s">
        <v>67</v>
      </c>
    </row>
    <row r="58" spans="1:5" x14ac:dyDescent="0.3">
      <c r="A58">
        <v>1016020328</v>
      </c>
      <c r="B58" t="s">
        <v>127</v>
      </c>
      <c r="C58" t="s">
        <v>126</v>
      </c>
      <c r="D58" t="s">
        <v>50</v>
      </c>
      <c r="E58" t="s">
        <v>47</v>
      </c>
    </row>
    <row r="59" spans="1:5" x14ac:dyDescent="0.3">
      <c r="A59">
        <v>1027940493</v>
      </c>
      <c r="B59" t="s">
        <v>128</v>
      </c>
      <c r="C59" t="s">
        <v>45</v>
      </c>
      <c r="D59" t="s">
        <v>46</v>
      </c>
      <c r="E59" t="s">
        <v>47</v>
      </c>
    </row>
    <row r="60" spans="1:5" x14ac:dyDescent="0.3">
      <c r="A60">
        <v>1027941948</v>
      </c>
      <c r="B60" t="s">
        <v>129</v>
      </c>
      <c r="C60" t="s">
        <v>45</v>
      </c>
      <c r="D60" t="s">
        <v>46</v>
      </c>
      <c r="E60" t="s">
        <v>47</v>
      </c>
    </row>
    <row r="61" spans="1:5" x14ac:dyDescent="0.3">
      <c r="A61">
        <v>1027949521</v>
      </c>
      <c r="B61" t="s">
        <v>130</v>
      </c>
      <c r="C61" t="s">
        <v>45</v>
      </c>
      <c r="D61" t="s">
        <v>131</v>
      </c>
      <c r="E61" t="s">
        <v>47</v>
      </c>
    </row>
    <row r="62" spans="1:5" x14ac:dyDescent="0.3">
      <c r="A62">
        <v>1027950061</v>
      </c>
      <c r="B62" t="s">
        <v>132</v>
      </c>
      <c r="C62" t="s">
        <v>133</v>
      </c>
      <c r="D62" t="s">
        <v>88</v>
      </c>
      <c r="E62" t="s">
        <v>89</v>
      </c>
    </row>
    <row r="63" spans="1:5" x14ac:dyDescent="0.3">
      <c r="A63">
        <v>1027955568</v>
      </c>
      <c r="B63" t="s">
        <v>134</v>
      </c>
      <c r="C63" t="s">
        <v>45</v>
      </c>
      <c r="D63" t="s">
        <v>46</v>
      </c>
      <c r="E63" t="s">
        <v>47</v>
      </c>
    </row>
    <row r="64" spans="1:5" x14ac:dyDescent="0.3">
      <c r="A64">
        <v>1027961710</v>
      </c>
      <c r="B64" t="s">
        <v>135</v>
      </c>
      <c r="C64" t="s">
        <v>45</v>
      </c>
      <c r="D64" t="s">
        <v>46</v>
      </c>
      <c r="E64" t="s">
        <v>47</v>
      </c>
    </row>
    <row r="65" spans="1:9" x14ac:dyDescent="0.3">
      <c r="A65">
        <v>1027964569</v>
      </c>
      <c r="B65" t="s">
        <v>136</v>
      </c>
      <c r="C65" t="s">
        <v>45</v>
      </c>
      <c r="D65" t="s">
        <v>46</v>
      </c>
      <c r="E65" t="s">
        <v>47</v>
      </c>
    </row>
    <row r="66" spans="1:9" x14ac:dyDescent="0.3">
      <c r="A66">
        <v>1027965062</v>
      </c>
      <c r="B66" t="s">
        <v>137</v>
      </c>
      <c r="C66" t="s">
        <v>138</v>
      </c>
      <c r="D66" t="s">
        <v>46</v>
      </c>
      <c r="E66" t="s">
        <v>47</v>
      </c>
      <c r="H66" s="50"/>
      <c r="I66" s="50"/>
    </row>
    <row r="67" spans="1:9" x14ac:dyDescent="0.3">
      <c r="A67">
        <v>1027965675</v>
      </c>
      <c r="B67" t="s">
        <v>139</v>
      </c>
      <c r="C67" t="s">
        <v>45</v>
      </c>
      <c r="D67" t="s">
        <v>50</v>
      </c>
      <c r="E67" t="s">
        <v>47</v>
      </c>
    </row>
    <row r="68" spans="1:9" x14ac:dyDescent="0.3">
      <c r="A68">
        <v>1027998923</v>
      </c>
      <c r="B68" t="s">
        <v>140</v>
      </c>
      <c r="C68" t="s">
        <v>45</v>
      </c>
      <c r="D68" t="s">
        <v>46</v>
      </c>
      <c r="E68" t="s">
        <v>47</v>
      </c>
    </row>
    <row r="69" spans="1:9" x14ac:dyDescent="0.3">
      <c r="A69">
        <v>1028000552</v>
      </c>
      <c r="B69" t="s">
        <v>141</v>
      </c>
      <c r="C69" t="s">
        <v>138</v>
      </c>
      <c r="D69" t="s">
        <v>50</v>
      </c>
      <c r="E69" t="s">
        <v>47</v>
      </c>
    </row>
    <row r="70" spans="1:9" x14ac:dyDescent="0.3">
      <c r="A70">
        <v>1028004993</v>
      </c>
      <c r="B70" t="s">
        <v>142</v>
      </c>
      <c r="C70" t="s">
        <v>45</v>
      </c>
      <c r="D70" t="s">
        <v>46</v>
      </c>
      <c r="E70" t="s">
        <v>47</v>
      </c>
    </row>
    <row r="71" spans="1:9" x14ac:dyDescent="0.3">
      <c r="A71">
        <v>1028007025</v>
      </c>
      <c r="B71" t="s">
        <v>143</v>
      </c>
      <c r="C71" t="s">
        <v>45</v>
      </c>
      <c r="D71" t="s">
        <v>46</v>
      </c>
      <c r="E71" t="s">
        <v>47</v>
      </c>
    </row>
    <row r="72" spans="1:9" x14ac:dyDescent="0.3">
      <c r="A72">
        <v>1028008582</v>
      </c>
      <c r="B72" t="s">
        <v>144</v>
      </c>
      <c r="C72" t="s">
        <v>45</v>
      </c>
      <c r="D72" t="s">
        <v>46</v>
      </c>
      <c r="E72" t="s">
        <v>47</v>
      </c>
    </row>
    <row r="73" spans="1:9" x14ac:dyDescent="0.3">
      <c r="A73">
        <v>1028008775</v>
      </c>
      <c r="B73" t="s">
        <v>145</v>
      </c>
      <c r="C73" t="s">
        <v>45</v>
      </c>
      <c r="D73" t="s">
        <v>46</v>
      </c>
      <c r="E73" t="s">
        <v>47</v>
      </c>
    </row>
    <row r="74" spans="1:9" x14ac:dyDescent="0.3">
      <c r="A74">
        <v>1028012842</v>
      </c>
      <c r="B74" t="s">
        <v>146</v>
      </c>
      <c r="C74" t="s">
        <v>45</v>
      </c>
      <c r="D74" t="s">
        <v>46</v>
      </c>
      <c r="E74" t="s">
        <v>47</v>
      </c>
    </row>
    <row r="75" spans="1:9" x14ac:dyDescent="0.3">
      <c r="A75">
        <v>1028014198</v>
      </c>
      <c r="B75" t="s">
        <v>147</v>
      </c>
      <c r="C75" t="s">
        <v>148</v>
      </c>
      <c r="D75" t="s">
        <v>149</v>
      </c>
      <c r="E75" t="s">
        <v>47</v>
      </c>
    </row>
    <row r="76" spans="1:9" x14ac:dyDescent="0.3">
      <c r="A76">
        <v>1028015696</v>
      </c>
      <c r="B76" t="s">
        <v>150</v>
      </c>
      <c r="C76" t="s">
        <v>52</v>
      </c>
      <c r="D76" t="s">
        <v>131</v>
      </c>
      <c r="E76" t="s">
        <v>47</v>
      </c>
    </row>
    <row r="77" spans="1:9" x14ac:dyDescent="0.3">
      <c r="A77">
        <v>1028016962</v>
      </c>
      <c r="B77" t="s">
        <v>151</v>
      </c>
      <c r="C77" t="s">
        <v>45</v>
      </c>
      <c r="D77" t="s">
        <v>46</v>
      </c>
      <c r="E77" t="s">
        <v>47</v>
      </c>
    </row>
    <row r="78" spans="1:9" x14ac:dyDescent="0.3">
      <c r="A78">
        <v>1028016975</v>
      </c>
      <c r="B78" t="s">
        <v>152</v>
      </c>
      <c r="C78" t="s">
        <v>52</v>
      </c>
      <c r="D78" t="s">
        <v>50</v>
      </c>
      <c r="E78" t="s">
        <v>47</v>
      </c>
    </row>
    <row r="79" spans="1:9" x14ac:dyDescent="0.3">
      <c r="A79">
        <v>1028018196</v>
      </c>
      <c r="B79" t="s">
        <v>153</v>
      </c>
      <c r="C79" t="s">
        <v>45</v>
      </c>
      <c r="D79" t="s">
        <v>46</v>
      </c>
      <c r="E79" t="s">
        <v>47</v>
      </c>
    </row>
    <row r="80" spans="1:9" x14ac:dyDescent="0.3">
      <c r="A80">
        <v>1028018535</v>
      </c>
      <c r="B80" t="s">
        <v>154</v>
      </c>
      <c r="C80" t="s">
        <v>45</v>
      </c>
      <c r="D80" t="s">
        <v>46</v>
      </c>
      <c r="E80" t="s">
        <v>47</v>
      </c>
    </row>
    <row r="81" spans="1:5" x14ac:dyDescent="0.3">
      <c r="A81">
        <v>1028019199</v>
      </c>
      <c r="B81" t="s">
        <v>155</v>
      </c>
      <c r="C81" t="s">
        <v>156</v>
      </c>
      <c r="D81" t="s">
        <v>46</v>
      </c>
      <c r="E81" t="s">
        <v>47</v>
      </c>
    </row>
    <row r="82" spans="1:5" x14ac:dyDescent="0.3">
      <c r="A82">
        <v>1028019453</v>
      </c>
      <c r="B82" t="s">
        <v>157</v>
      </c>
      <c r="C82" t="s">
        <v>45</v>
      </c>
      <c r="D82" t="s">
        <v>46</v>
      </c>
      <c r="E82" t="s">
        <v>47</v>
      </c>
    </row>
    <row r="83" spans="1:5" x14ac:dyDescent="0.3">
      <c r="A83">
        <v>1028019514</v>
      </c>
      <c r="B83" t="s">
        <v>158</v>
      </c>
      <c r="C83" t="s">
        <v>52</v>
      </c>
      <c r="D83" t="s">
        <v>46</v>
      </c>
      <c r="E83" t="s">
        <v>67</v>
      </c>
    </row>
    <row r="84" spans="1:5" x14ac:dyDescent="0.3">
      <c r="A84">
        <v>1028020425</v>
      </c>
      <c r="B84" t="s">
        <v>159</v>
      </c>
      <c r="C84" t="s">
        <v>52</v>
      </c>
      <c r="D84" t="s">
        <v>46</v>
      </c>
      <c r="E84" t="s">
        <v>67</v>
      </c>
    </row>
    <row r="85" spans="1:5" x14ac:dyDescent="0.3">
      <c r="A85">
        <v>1028020431</v>
      </c>
      <c r="B85" t="s">
        <v>160</v>
      </c>
      <c r="C85" t="s">
        <v>161</v>
      </c>
      <c r="D85" t="s">
        <v>61</v>
      </c>
      <c r="E85" t="s">
        <v>47</v>
      </c>
    </row>
    <row r="86" spans="1:5" x14ac:dyDescent="0.3">
      <c r="A86">
        <v>1028020691</v>
      </c>
      <c r="B86" t="s">
        <v>162</v>
      </c>
      <c r="C86" t="s">
        <v>163</v>
      </c>
      <c r="D86" t="s">
        <v>46</v>
      </c>
      <c r="E86" t="s">
        <v>47</v>
      </c>
    </row>
    <row r="87" spans="1:5" x14ac:dyDescent="0.3">
      <c r="A87">
        <v>1028021199</v>
      </c>
      <c r="B87" t="s">
        <v>164</v>
      </c>
      <c r="C87" t="s">
        <v>45</v>
      </c>
      <c r="D87" t="s">
        <v>46</v>
      </c>
      <c r="E87" t="s">
        <v>47</v>
      </c>
    </row>
    <row r="88" spans="1:5" x14ac:dyDescent="0.3">
      <c r="A88">
        <v>1028026259</v>
      </c>
      <c r="B88" t="s">
        <v>165</v>
      </c>
      <c r="C88" t="s">
        <v>45</v>
      </c>
      <c r="D88" t="s">
        <v>46</v>
      </c>
      <c r="E88" t="s">
        <v>47</v>
      </c>
    </row>
    <row r="89" spans="1:5" x14ac:dyDescent="0.3">
      <c r="A89">
        <v>1028028558</v>
      </c>
      <c r="B89" t="s">
        <v>166</v>
      </c>
      <c r="C89" t="s">
        <v>167</v>
      </c>
      <c r="D89" t="s">
        <v>46</v>
      </c>
      <c r="E89" t="s">
        <v>47</v>
      </c>
    </row>
    <row r="90" spans="1:5" x14ac:dyDescent="0.3">
      <c r="A90">
        <v>1028029706</v>
      </c>
      <c r="B90" t="s">
        <v>168</v>
      </c>
      <c r="C90" t="s">
        <v>45</v>
      </c>
      <c r="D90" t="s">
        <v>46</v>
      </c>
      <c r="E90" t="s">
        <v>47</v>
      </c>
    </row>
    <row r="91" spans="1:5" x14ac:dyDescent="0.3">
      <c r="A91">
        <v>1028031843</v>
      </c>
      <c r="B91" t="s">
        <v>169</v>
      </c>
      <c r="C91" t="s">
        <v>45</v>
      </c>
      <c r="D91" t="s">
        <v>46</v>
      </c>
      <c r="E91" t="s">
        <v>47</v>
      </c>
    </row>
    <row r="92" spans="1:5" x14ac:dyDescent="0.3">
      <c r="A92">
        <v>1028033477</v>
      </c>
      <c r="B92" t="s">
        <v>170</v>
      </c>
      <c r="C92" t="s">
        <v>63</v>
      </c>
      <c r="D92" t="s">
        <v>46</v>
      </c>
      <c r="E92" t="s">
        <v>47</v>
      </c>
    </row>
    <row r="93" spans="1:5" x14ac:dyDescent="0.3">
      <c r="A93">
        <v>1028033794</v>
      </c>
      <c r="B93" t="s">
        <v>171</v>
      </c>
      <c r="C93" t="s">
        <v>45</v>
      </c>
      <c r="D93" t="s">
        <v>46</v>
      </c>
      <c r="E93" t="s">
        <v>47</v>
      </c>
    </row>
    <row r="94" spans="1:5" x14ac:dyDescent="0.3">
      <c r="A94">
        <v>1028034150</v>
      </c>
      <c r="B94" t="s">
        <v>172</v>
      </c>
      <c r="C94" t="s">
        <v>52</v>
      </c>
      <c r="D94" t="s">
        <v>46</v>
      </c>
      <c r="E94" t="s">
        <v>47</v>
      </c>
    </row>
    <row r="95" spans="1:5" x14ac:dyDescent="0.3">
      <c r="A95">
        <v>1028040579</v>
      </c>
      <c r="B95" t="s">
        <v>173</v>
      </c>
      <c r="C95" t="s">
        <v>45</v>
      </c>
      <c r="D95" t="s">
        <v>46</v>
      </c>
      <c r="E95" t="s">
        <v>47</v>
      </c>
    </row>
    <row r="96" spans="1:5" x14ac:dyDescent="0.3">
      <c r="A96">
        <v>1032246991</v>
      </c>
      <c r="B96" t="s">
        <v>174</v>
      </c>
      <c r="C96" t="s">
        <v>45</v>
      </c>
      <c r="D96" t="s">
        <v>71</v>
      </c>
      <c r="E96" t="s">
        <v>67</v>
      </c>
    </row>
    <row r="97" spans="1:5" x14ac:dyDescent="0.3">
      <c r="A97">
        <v>1032247358</v>
      </c>
      <c r="B97" t="s">
        <v>175</v>
      </c>
      <c r="C97" t="s">
        <v>45</v>
      </c>
      <c r="D97" t="s">
        <v>66</v>
      </c>
      <c r="E97" t="s">
        <v>67</v>
      </c>
    </row>
    <row r="98" spans="1:5" x14ac:dyDescent="0.3">
      <c r="A98">
        <v>1032250306</v>
      </c>
      <c r="B98" t="s">
        <v>176</v>
      </c>
      <c r="C98" t="s">
        <v>177</v>
      </c>
      <c r="D98" t="s">
        <v>71</v>
      </c>
      <c r="E98" t="s">
        <v>67</v>
      </c>
    </row>
    <row r="99" spans="1:5" x14ac:dyDescent="0.3">
      <c r="A99">
        <v>1032253262</v>
      </c>
      <c r="B99" t="s">
        <v>178</v>
      </c>
      <c r="C99" t="s">
        <v>45</v>
      </c>
      <c r="D99" t="s">
        <v>71</v>
      </c>
      <c r="E99" t="s">
        <v>67</v>
      </c>
    </row>
    <row r="100" spans="1:5" x14ac:dyDescent="0.3">
      <c r="A100">
        <v>1032253656</v>
      </c>
      <c r="B100" t="s">
        <v>179</v>
      </c>
      <c r="C100" t="s">
        <v>45</v>
      </c>
      <c r="D100" t="s">
        <v>71</v>
      </c>
      <c r="E100" t="s">
        <v>67</v>
      </c>
    </row>
    <row r="101" spans="1:5" x14ac:dyDescent="0.3">
      <c r="A101">
        <v>1032257904</v>
      </c>
      <c r="B101" t="s">
        <v>180</v>
      </c>
      <c r="C101" t="s">
        <v>45</v>
      </c>
      <c r="D101" t="s">
        <v>71</v>
      </c>
      <c r="E101" t="s">
        <v>67</v>
      </c>
    </row>
    <row r="102" spans="1:5" x14ac:dyDescent="0.3">
      <c r="A102">
        <v>1032261496</v>
      </c>
      <c r="B102" t="s">
        <v>181</v>
      </c>
      <c r="C102" t="s">
        <v>148</v>
      </c>
      <c r="D102" t="s">
        <v>46</v>
      </c>
      <c r="E102" t="s">
        <v>47</v>
      </c>
    </row>
    <row r="103" spans="1:5" x14ac:dyDescent="0.3">
      <c r="A103" s="85">
        <v>1033366519</v>
      </c>
      <c r="B103" s="85" t="s">
        <v>182</v>
      </c>
      <c r="C103" s="85" t="s">
        <v>183</v>
      </c>
      <c r="D103" s="85" t="s">
        <v>61</v>
      </c>
      <c r="E103" s="85" t="s">
        <v>47</v>
      </c>
    </row>
    <row r="104" spans="1:5" x14ac:dyDescent="0.3">
      <c r="A104">
        <v>1033375764</v>
      </c>
      <c r="B104" t="s">
        <v>184</v>
      </c>
      <c r="C104" t="s">
        <v>45</v>
      </c>
      <c r="D104" t="s">
        <v>22</v>
      </c>
      <c r="E104" t="s">
        <v>47</v>
      </c>
    </row>
    <row r="105" spans="1:5" x14ac:dyDescent="0.3">
      <c r="A105">
        <v>1033376481</v>
      </c>
      <c r="B105" t="s">
        <v>185</v>
      </c>
      <c r="C105" t="s">
        <v>186</v>
      </c>
      <c r="D105" t="s">
        <v>88</v>
      </c>
      <c r="E105" t="s">
        <v>89</v>
      </c>
    </row>
    <row r="106" spans="1:5" x14ac:dyDescent="0.3">
      <c r="A106">
        <v>1033376821</v>
      </c>
      <c r="B106" t="s">
        <v>187</v>
      </c>
      <c r="C106" t="s">
        <v>45</v>
      </c>
      <c r="D106" t="s">
        <v>22</v>
      </c>
      <c r="E106" t="s">
        <v>47</v>
      </c>
    </row>
    <row r="107" spans="1:5" x14ac:dyDescent="0.3">
      <c r="A107">
        <v>1035304044</v>
      </c>
      <c r="B107" t="s">
        <v>188</v>
      </c>
      <c r="C107" t="s">
        <v>45</v>
      </c>
      <c r="D107" t="s">
        <v>189</v>
      </c>
      <c r="E107" t="s">
        <v>47</v>
      </c>
    </row>
    <row r="108" spans="1:5" x14ac:dyDescent="0.3">
      <c r="A108">
        <v>1036667705</v>
      </c>
      <c r="B108" t="s">
        <v>190</v>
      </c>
      <c r="C108" t="s">
        <v>45</v>
      </c>
      <c r="D108" t="s">
        <v>66</v>
      </c>
      <c r="E108" t="s">
        <v>67</v>
      </c>
    </row>
    <row r="109" spans="1:5" x14ac:dyDescent="0.3">
      <c r="A109">
        <v>1037116153</v>
      </c>
      <c r="B109" t="s">
        <v>191</v>
      </c>
      <c r="C109" t="s">
        <v>106</v>
      </c>
      <c r="D109" t="s">
        <v>46</v>
      </c>
      <c r="E109" t="s">
        <v>47</v>
      </c>
    </row>
    <row r="110" spans="1:5" x14ac:dyDescent="0.3">
      <c r="A110">
        <v>1037479281</v>
      </c>
      <c r="B110" t="s">
        <v>192</v>
      </c>
      <c r="C110" t="s">
        <v>45</v>
      </c>
      <c r="D110" t="s">
        <v>193</v>
      </c>
      <c r="E110" t="s">
        <v>47</v>
      </c>
    </row>
    <row r="111" spans="1:5" x14ac:dyDescent="0.3">
      <c r="A111" s="85">
        <v>1037480410</v>
      </c>
      <c r="B111" s="85" t="s">
        <v>194</v>
      </c>
      <c r="C111" s="85" t="s">
        <v>195</v>
      </c>
      <c r="D111" s="85" t="s">
        <v>101</v>
      </c>
      <c r="E111" s="85" t="s">
        <v>67</v>
      </c>
    </row>
    <row r="112" spans="1:5" x14ac:dyDescent="0.3">
      <c r="A112">
        <v>1037481534</v>
      </c>
      <c r="B112" t="s">
        <v>196</v>
      </c>
      <c r="C112" t="s">
        <v>45</v>
      </c>
      <c r="D112" t="s">
        <v>197</v>
      </c>
      <c r="E112" t="s">
        <v>47</v>
      </c>
    </row>
    <row r="113" spans="1:5" x14ac:dyDescent="0.3">
      <c r="A113">
        <v>1037481730</v>
      </c>
      <c r="B113" t="s">
        <v>198</v>
      </c>
      <c r="C113" t="s">
        <v>45</v>
      </c>
      <c r="D113" t="s">
        <v>193</v>
      </c>
      <c r="E113" t="s">
        <v>47</v>
      </c>
    </row>
    <row r="114" spans="1:5" x14ac:dyDescent="0.3">
      <c r="A114">
        <v>1037481859</v>
      </c>
      <c r="B114" t="s">
        <v>199</v>
      </c>
      <c r="C114" t="s">
        <v>45</v>
      </c>
      <c r="D114" t="s">
        <v>46</v>
      </c>
      <c r="E114" t="s">
        <v>47</v>
      </c>
    </row>
    <row r="115" spans="1:5" x14ac:dyDescent="0.3">
      <c r="A115">
        <v>1037481894</v>
      </c>
      <c r="B115" t="s">
        <v>200</v>
      </c>
      <c r="C115" t="s">
        <v>45</v>
      </c>
      <c r="D115" t="s">
        <v>197</v>
      </c>
      <c r="E115" t="s">
        <v>47</v>
      </c>
    </row>
    <row r="116" spans="1:5" x14ac:dyDescent="0.3">
      <c r="A116">
        <v>1037482743</v>
      </c>
      <c r="B116" t="s">
        <v>201</v>
      </c>
      <c r="C116" t="s">
        <v>45</v>
      </c>
      <c r="D116" t="s">
        <v>193</v>
      </c>
      <c r="E116" t="s">
        <v>47</v>
      </c>
    </row>
    <row r="117" spans="1:5" x14ac:dyDescent="0.3">
      <c r="A117">
        <v>1037635873</v>
      </c>
      <c r="B117" t="s">
        <v>202</v>
      </c>
      <c r="C117" t="s">
        <v>63</v>
      </c>
      <c r="D117" t="s">
        <v>46</v>
      </c>
      <c r="E117" t="s">
        <v>47</v>
      </c>
    </row>
    <row r="118" spans="1:5" x14ac:dyDescent="0.3">
      <c r="A118">
        <v>1037657826</v>
      </c>
      <c r="B118" t="s">
        <v>203</v>
      </c>
      <c r="C118" t="s">
        <v>204</v>
      </c>
      <c r="D118" t="s">
        <v>46</v>
      </c>
      <c r="E118" t="s">
        <v>47</v>
      </c>
    </row>
    <row r="119" spans="1:5" x14ac:dyDescent="0.3">
      <c r="A119">
        <v>1038094084</v>
      </c>
      <c r="B119" t="s">
        <v>205</v>
      </c>
      <c r="C119" t="s">
        <v>52</v>
      </c>
      <c r="D119" t="s">
        <v>66</v>
      </c>
      <c r="E119" t="s">
        <v>67</v>
      </c>
    </row>
    <row r="120" spans="1:5" x14ac:dyDescent="0.3">
      <c r="A120">
        <v>1038098639</v>
      </c>
      <c r="B120" t="s">
        <v>206</v>
      </c>
      <c r="C120" t="s">
        <v>207</v>
      </c>
      <c r="D120" t="s">
        <v>74</v>
      </c>
      <c r="E120" t="s">
        <v>67</v>
      </c>
    </row>
    <row r="121" spans="1:5" x14ac:dyDescent="0.3">
      <c r="A121">
        <v>1038099787</v>
      </c>
      <c r="B121" t="s">
        <v>208</v>
      </c>
      <c r="C121" t="s">
        <v>45</v>
      </c>
      <c r="D121" t="s">
        <v>66</v>
      </c>
      <c r="E121" t="s">
        <v>67</v>
      </c>
    </row>
    <row r="122" spans="1:5" x14ac:dyDescent="0.3">
      <c r="A122">
        <v>1038100612</v>
      </c>
      <c r="B122" t="s">
        <v>209</v>
      </c>
      <c r="C122" t="s">
        <v>52</v>
      </c>
      <c r="D122" t="s">
        <v>66</v>
      </c>
      <c r="E122" t="s">
        <v>67</v>
      </c>
    </row>
    <row r="123" spans="1:5" x14ac:dyDescent="0.3">
      <c r="A123">
        <v>1038101705</v>
      </c>
      <c r="B123" t="s">
        <v>210</v>
      </c>
      <c r="C123" t="s">
        <v>45</v>
      </c>
      <c r="D123" t="s">
        <v>66</v>
      </c>
      <c r="E123" t="s">
        <v>67</v>
      </c>
    </row>
    <row r="124" spans="1:5" x14ac:dyDescent="0.3">
      <c r="A124">
        <v>1038105029</v>
      </c>
      <c r="B124" t="s">
        <v>211</v>
      </c>
      <c r="C124" t="s">
        <v>45</v>
      </c>
      <c r="D124" t="s">
        <v>66</v>
      </c>
      <c r="E124" t="s">
        <v>67</v>
      </c>
    </row>
    <row r="125" spans="1:5" x14ac:dyDescent="0.3">
      <c r="A125">
        <v>1038105785</v>
      </c>
      <c r="B125" t="s">
        <v>212</v>
      </c>
      <c r="C125" t="s">
        <v>45</v>
      </c>
      <c r="D125" t="s">
        <v>66</v>
      </c>
      <c r="E125" t="s">
        <v>67</v>
      </c>
    </row>
    <row r="126" spans="1:5" x14ac:dyDescent="0.3">
      <c r="A126">
        <v>1038106204</v>
      </c>
      <c r="B126" t="s">
        <v>213</v>
      </c>
      <c r="C126" t="s">
        <v>52</v>
      </c>
      <c r="D126" t="s">
        <v>46</v>
      </c>
      <c r="E126" t="s">
        <v>47</v>
      </c>
    </row>
    <row r="127" spans="1:5" x14ac:dyDescent="0.3">
      <c r="A127">
        <v>1038106412</v>
      </c>
      <c r="B127" t="s">
        <v>214</v>
      </c>
      <c r="C127" t="s">
        <v>45</v>
      </c>
      <c r="D127" t="s">
        <v>66</v>
      </c>
      <c r="E127" t="s">
        <v>67</v>
      </c>
    </row>
    <row r="128" spans="1:5" x14ac:dyDescent="0.3">
      <c r="A128">
        <v>1038113000</v>
      </c>
      <c r="B128" t="s">
        <v>215</v>
      </c>
      <c r="C128" t="s">
        <v>167</v>
      </c>
      <c r="D128" t="s">
        <v>66</v>
      </c>
      <c r="E128" t="s">
        <v>67</v>
      </c>
    </row>
    <row r="129" spans="1:7" x14ac:dyDescent="0.3">
      <c r="A129">
        <v>1038113651</v>
      </c>
      <c r="B129" t="s">
        <v>216</v>
      </c>
      <c r="C129" t="s">
        <v>45</v>
      </c>
      <c r="D129" t="s">
        <v>66</v>
      </c>
      <c r="E129" t="s">
        <v>67</v>
      </c>
      <c r="G129" s="50"/>
    </row>
    <row r="130" spans="1:7" x14ac:dyDescent="0.3">
      <c r="A130">
        <v>1038114107</v>
      </c>
      <c r="B130" t="s">
        <v>217</v>
      </c>
      <c r="C130" t="s">
        <v>45</v>
      </c>
      <c r="D130" t="s">
        <v>66</v>
      </c>
      <c r="E130" t="s">
        <v>67</v>
      </c>
    </row>
    <row r="131" spans="1:7" x14ac:dyDescent="0.3">
      <c r="A131">
        <v>1038115669</v>
      </c>
      <c r="B131" t="s">
        <v>218</v>
      </c>
      <c r="C131" t="s">
        <v>45</v>
      </c>
      <c r="D131" t="s">
        <v>66</v>
      </c>
      <c r="E131" t="s">
        <v>67</v>
      </c>
    </row>
    <row r="132" spans="1:7" x14ac:dyDescent="0.3">
      <c r="A132">
        <v>1038115806</v>
      </c>
      <c r="B132" t="s">
        <v>219</v>
      </c>
      <c r="C132" t="s">
        <v>52</v>
      </c>
      <c r="D132" t="s">
        <v>66</v>
      </c>
      <c r="E132" t="s">
        <v>67</v>
      </c>
    </row>
    <row r="133" spans="1:7" x14ac:dyDescent="0.3">
      <c r="A133">
        <v>1038116110</v>
      </c>
      <c r="B133" t="s">
        <v>220</v>
      </c>
      <c r="C133" t="s">
        <v>45</v>
      </c>
      <c r="D133" t="s">
        <v>66</v>
      </c>
      <c r="E133" t="s">
        <v>67</v>
      </c>
    </row>
    <row r="134" spans="1:7" x14ac:dyDescent="0.3">
      <c r="A134">
        <v>1038120715</v>
      </c>
      <c r="B134" t="s">
        <v>221</v>
      </c>
      <c r="C134" t="s">
        <v>45</v>
      </c>
      <c r="D134" t="s">
        <v>66</v>
      </c>
      <c r="E134" t="s">
        <v>67</v>
      </c>
    </row>
    <row r="135" spans="1:7" x14ac:dyDescent="0.3">
      <c r="A135">
        <v>1038122853</v>
      </c>
      <c r="B135" t="s">
        <v>222</v>
      </c>
      <c r="C135" t="s">
        <v>45</v>
      </c>
      <c r="D135" t="s">
        <v>66</v>
      </c>
      <c r="E135" t="s">
        <v>67</v>
      </c>
    </row>
    <row r="136" spans="1:7" x14ac:dyDescent="0.3">
      <c r="A136">
        <v>1038131052</v>
      </c>
      <c r="B136" t="s">
        <v>223</v>
      </c>
      <c r="C136" t="s">
        <v>45</v>
      </c>
      <c r="D136" t="s">
        <v>66</v>
      </c>
      <c r="E136" t="s">
        <v>67</v>
      </c>
    </row>
    <row r="137" spans="1:7" x14ac:dyDescent="0.3">
      <c r="A137">
        <v>1038132370</v>
      </c>
      <c r="B137" t="s">
        <v>224</v>
      </c>
      <c r="C137" t="s">
        <v>45</v>
      </c>
      <c r="D137" t="s">
        <v>85</v>
      </c>
      <c r="E137" t="s">
        <v>67</v>
      </c>
    </row>
    <row r="138" spans="1:7" x14ac:dyDescent="0.3">
      <c r="A138">
        <v>1038133321</v>
      </c>
      <c r="B138" t="s">
        <v>225</v>
      </c>
      <c r="C138" t="s">
        <v>45</v>
      </c>
      <c r="D138" t="s">
        <v>66</v>
      </c>
      <c r="E138" t="s">
        <v>67</v>
      </c>
    </row>
    <row r="139" spans="1:7" x14ac:dyDescent="0.3">
      <c r="A139">
        <v>1038133383</v>
      </c>
      <c r="B139" t="s">
        <v>226</v>
      </c>
      <c r="C139" t="s">
        <v>45</v>
      </c>
      <c r="D139" t="s">
        <v>66</v>
      </c>
      <c r="E139" t="s">
        <v>67</v>
      </c>
    </row>
    <row r="140" spans="1:7" x14ac:dyDescent="0.3">
      <c r="A140">
        <v>1038133424</v>
      </c>
      <c r="B140" t="s">
        <v>227</v>
      </c>
      <c r="C140" t="s">
        <v>45</v>
      </c>
      <c r="D140" t="s">
        <v>66</v>
      </c>
      <c r="E140" t="s">
        <v>67</v>
      </c>
    </row>
    <row r="141" spans="1:7" x14ac:dyDescent="0.3">
      <c r="A141">
        <v>1038133744</v>
      </c>
      <c r="B141" t="s">
        <v>228</v>
      </c>
      <c r="C141" t="s">
        <v>177</v>
      </c>
      <c r="D141" t="s">
        <v>66</v>
      </c>
      <c r="E141" t="s">
        <v>67</v>
      </c>
    </row>
    <row r="142" spans="1:7" x14ac:dyDescent="0.3">
      <c r="A142">
        <v>1038134602</v>
      </c>
      <c r="B142" t="s">
        <v>229</v>
      </c>
      <c r="C142" t="s">
        <v>45</v>
      </c>
      <c r="D142" t="s">
        <v>66</v>
      </c>
      <c r="E142" t="s">
        <v>67</v>
      </c>
    </row>
    <row r="143" spans="1:7" x14ac:dyDescent="0.3">
      <c r="A143">
        <v>1038135724</v>
      </c>
      <c r="B143" t="s">
        <v>230</v>
      </c>
      <c r="C143" t="s">
        <v>204</v>
      </c>
      <c r="D143" t="s">
        <v>66</v>
      </c>
      <c r="E143" t="s">
        <v>67</v>
      </c>
    </row>
    <row r="144" spans="1:7" x14ac:dyDescent="0.3">
      <c r="A144">
        <v>1038136365</v>
      </c>
      <c r="B144" t="s">
        <v>231</v>
      </c>
      <c r="C144" t="s">
        <v>45</v>
      </c>
      <c r="D144" t="s">
        <v>66</v>
      </c>
      <c r="E144" t="s">
        <v>67</v>
      </c>
    </row>
    <row r="145" spans="1:5" x14ac:dyDescent="0.3">
      <c r="A145">
        <v>1038137120</v>
      </c>
      <c r="B145" t="s">
        <v>232</v>
      </c>
      <c r="C145" t="s">
        <v>45</v>
      </c>
      <c r="D145" t="s">
        <v>71</v>
      </c>
      <c r="E145" t="s">
        <v>67</v>
      </c>
    </row>
    <row r="146" spans="1:5" x14ac:dyDescent="0.3">
      <c r="A146">
        <v>1038139523</v>
      </c>
      <c r="B146" t="s">
        <v>233</v>
      </c>
      <c r="C146" t="s">
        <v>45</v>
      </c>
      <c r="D146" t="s">
        <v>66</v>
      </c>
      <c r="E146" t="s">
        <v>67</v>
      </c>
    </row>
    <row r="147" spans="1:5" x14ac:dyDescent="0.3">
      <c r="A147">
        <v>1038140658</v>
      </c>
      <c r="B147" t="s">
        <v>234</v>
      </c>
      <c r="C147" t="s">
        <v>45</v>
      </c>
      <c r="D147" t="s">
        <v>66</v>
      </c>
      <c r="E147" t="s">
        <v>67</v>
      </c>
    </row>
    <row r="148" spans="1:5" x14ac:dyDescent="0.3">
      <c r="A148">
        <v>1038476950</v>
      </c>
      <c r="B148" t="s">
        <v>235</v>
      </c>
      <c r="C148" t="s">
        <v>45</v>
      </c>
      <c r="D148" t="s">
        <v>74</v>
      </c>
      <c r="E148" t="s">
        <v>67</v>
      </c>
    </row>
    <row r="149" spans="1:5" x14ac:dyDescent="0.3">
      <c r="A149">
        <v>1038479551</v>
      </c>
      <c r="B149" t="s">
        <v>236</v>
      </c>
      <c r="C149" t="s">
        <v>45</v>
      </c>
      <c r="D149" t="s">
        <v>66</v>
      </c>
      <c r="E149" t="s">
        <v>67</v>
      </c>
    </row>
    <row r="150" spans="1:5" x14ac:dyDescent="0.3">
      <c r="A150">
        <v>1038482715</v>
      </c>
      <c r="B150" t="s">
        <v>237</v>
      </c>
      <c r="C150" t="s">
        <v>238</v>
      </c>
      <c r="D150" t="s">
        <v>66</v>
      </c>
      <c r="E150" t="s">
        <v>67</v>
      </c>
    </row>
    <row r="151" spans="1:5" x14ac:dyDescent="0.3">
      <c r="A151">
        <v>1038482791</v>
      </c>
      <c r="B151" t="s">
        <v>239</v>
      </c>
      <c r="C151" t="s">
        <v>45</v>
      </c>
      <c r="D151" t="s">
        <v>74</v>
      </c>
      <c r="E151" t="s">
        <v>67</v>
      </c>
    </row>
    <row r="152" spans="1:5" x14ac:dyDescent="0.3">
      <c r="A152">
        <v>1038484212</v>
      </c>
      <c r="B152" t="s">
        <v>240</v>
      </c>
      <c r="C152" t="s">
        <v>45</v>
      </c>
      <c r="D152" t="s">
        <v>74</v>
      </c>
      <c r="E152" t="s">
        <v>67</v>
      </c>
    </row>
    <row r="153" spans="1:5" ht="14.25" customHeight="1" x14ac:dyDescent="0.3">
      <c r="A153">
        <v>1038646133</v>
      </c>
      <c r="B153" t="s">
        <v>241</v>
      </c>
      <c r="C153" t="s">
        <v>45</v>
      </c>
      <c r="D153" t="s">
        <v>66</v>
      </c>
      <c r="E153" t="s">
        <v>67</v>
      </c>
    </row>
    <row r="154" spans="1:5" x14ac:dyDescent="0.3">
      <c r="A154">
        <v>1039079172</v>
      </c>
      <c r="B154" t="s">
        <v>242</v>
      </c>
      <c r="C154" t="s">
        <v>45</v>
      </c>
      <c r="D154" t="s">
        <v>77</v>
      </c>
      <c r="E154" t="s">
        <v>47</v>
      </c>
    </row>
    <row r="155" spans="1:5" x14ac:dyDescent="0.3">
      <c r="A155">
        <v>1039087593</v>
      </c>
      <c r="B155" t="s">
        <v>243</v>
      </c>
      <c r="C155" t="s">
        <v>45</v>
      </c>
      <c r="D155" t="s">
        <v>77</v>
      </c>
      <c r="E155" t="s">
        <v>47</v>
      </c>
    </row>
    <row r="156" spans="1:5" x14ac:dyDescent="0.3">
      <c r="A156">
        <v>1039089509</v>
      </c>
      <c r="B156" t="s">
        <v>244</v>
      </c>
      <c r="C156" t="s">
        <v>45</v>
      </c>
      <c r="D156" t="s">
        <v>77</v>
      </c>
      <c r="E156" t="s">
        <v>47</v>
      </c>
    </row>
    <row r="157" spans="1:5" x14ac:dyDescent="0.3">
      <c r="A157">
        <v>1039092579</v>
      </c>
      <c r="B157" t="s">
        <v>245</v>
      </c>
      <c r="C157" t="s">
        <v>45</v>
      </c>
      <c r="D157" t="s">
        <v>131</v>
      </c>
      <c r="E157" t="s">
        <v>47</v>
      </c>
    </row>
    <row r="158" spans="1:5" x14ac:dyDescent="0.3">
      <c r="A158">
        <v>1039463301</v>
      </c>
      <c r="B158" t="s">
        <v>246</v>
      </c>
      <c r="C158" t="s">
        <v>45</v>
      </c>
      <c r="D158" t="s">
        <v>46</v>
      </c>
      <c r="E158" t="s">
        <v>47</v>
      </c>
    </row>
    <row r="159" spans="1:5" x14ac:dyDescent="0.3">
      <c r="A159">
        <v>1040354535</v>
      </c>
      <c r="B159" t="s">
        <v>247</v>
      </c>
      <c r="C159" t="s">
        <v>126</v>
      </c>
      <c r="D159" t="s">
        <v>46</v>
      </c>
      <c r="E159" t="s">
        <v>47</v>
      </c>
    </row>
    <row r="160" spans="1:5" x14ac:dyDescent="0.3">
      <c r="A160">
        <v>1040355363</v>
      </c>
      <c r="B160" t="s">
        <v>248</v>
      </c>
      <c r="C160" t="s">
        <v>45</v>
      </c>
      <c r="D160" t="s">
        <v>46</v>
      </c>
      <c r="E160" t="s">
        <v>47</v>
      </c>
    </row>
    <row r="161" spans="1:7" x14ac:dyDescent="0.3">
      <c r="A161">
        <v>1040355620</v>
      </c>
      <c r="B161" t="s">
        <v>249</v>
      </c>
      <c r="C161" t="s">
        <v>52</v>
      </c>
      <c r="D161" t="s">
        <v>46</v>
      </c>
      <c r="E161" t="s">
        <v>47</v>
      </c>
    </row>
    <row r="162" spans="1:7" x14ac:dyDescent="0.3">
      <c r="A162">
        <v>1040360957</v>
      </c>
      <c r="B162" t="s">
        <v>250</v>
      </c>
      <c r="C162" t="s">
        <v>52</v>
      </c>
      <c r="D162" t="s">
        <v>251</v>
      </c>
      <c r="E162" t="s">
        <v>47</v>
      </c>
    </row>
    <row r="163" spans="1:7" x14ac:dyDescent="0.3">
      <c r="A163">
        <v>1040364416</v>
      </c>
      <c r="B163" t="s">
        <v>252</v>
      </c>
      <c r="C163" t="s">
        <v>45</v>
      </c>
      <c r="D163" t="s">
        <v>46</v>
      </c>
      <c r="E163" t="s">
        <v>47</v>
      </c>
    </row>
    <row r="164" spans="1:7" x14ac:dyDescent="0.3">
      <c r="A164">
        <v>1040802416</v>
      </c>
      <c r="B164" t="s">
        <v>253</v>
      </c>
      <c r="C164" t="s">
        <v>254</v>
      </c>
      <c r="D164" t="s">
        <v>255</v>
      </c>
      <c r="E164" t="s">
        <v>47</v>
      </c>
    </row>
    <row r="165" spans="1:7" x14ac:dyDescent="0.3">
      <c r="A165">
        <v>1041255677</v>
      </c>
      <c r="B165" t="s">
        <v>256</v>
      </c>
      <c r="C165" t="s">
        <v>45</v>
      </c>
      <c r="D165" t="s">
        <v>46</v>
      </c>
      <c r="E165" t="s">
        <v>47</v>
      </c>
    </row>
    <row r="166" spans="1:7" x14ac:dyDescent="0.3">
      <c r="A166">
        <v>1041256214</v>
      </c>
      <c r="B166" t="s">
        <v>257</v>
      </c>
      <c r="C166" t="s">
        <v>55</v>
      </c>
      <c r="D166" t="s">
        <v>58</v>
      </c>
      <c r="E166" t="s">
        <v>47</v>
      </c>
    </row>
    <row r="167" spans="1:7" x14ac:dyDescent="0.3">
      <c r="A167">
        <v>1041260228</v>
      </c>
      <c r="B167" t="s">
        <v>258</v>
      </c>
      <c r="C167" t="s">
        <v>45</v>
      </c>
      <c r="D167" t="s">
        <v>251</v>
      </c>
      <c r="E167" t="s">
        <v>67</v>
      </c>
    </row>
    <row r="168" spans="1:7" x14ac:dyDescent="0.3">
      <c r="A168">
        <v>1041261242</v>
      </c>
      <c r="B168" t="s">
        <v>259</v>
      </c>
      <c r="C168" t="s">
        <v>45</v>
      </c>
      <c r="D168" t="s">
        <v>46</v>
      </c>
      <c r="E168" t="s">
        <v>47</v>
      </c>
    </row>
    <row r="169" spans="1:7" x14ac:dyDescent="0.3">
      <c r="A169">
        <v>1041266763</v>
      </c>
      <c r="B169" t="s">
        <v>260</v>
      </c>
      <c r="C169" t="s">
        <v>45</v>
      </c>
      <c r="D169" t="s">
        <v>251</v>
      </c>
      <c r="E169" t="s">
        <v>47</v>
      </c>
    </row>
    <row r="170" spans="1:7" x14ac:dyDescent="0.3">
      <c r="A170">
        <v>1042732704</v>
      </c>
      <c r="B170" t="s">
        <v>261</v>
      </c>
      <c r="C170" t="s">
        <v>45</v>
      </c>
      <c r="D170" t="s">
        <v>46</v>
      </c>
      <c r="E170" t="s">
        <v>47</v>
      </c>
    </row>
    <row r="171" spans="1:7" x14ac:dyDescent="0.3">
      <c r="A171">
        <v>1045136808</v>
      </c>
      <c r="B171" t="s">
        <v>262</v>
      </c>
      <c r="C171" t="s">
        <v>45</v>
      </c>
      <c r="D171" t="s">
        <v>85</v>
      </c>
      <c r="E171" t="s">
        <v>67</v>
      </c>
      <c r="G171" s="50"/>
    </row>
    <row r="172" spans="1:7" x14ac:dyDescent="0.3">
      <c r="A172">
        <v>1045416925</v>
      </c>
      <c r="B172" t="s">
        <v>1016</v>
      </c>
      <c r="C172" t="s">
        <v>254</v>
      </c>
      <c r="D172" t="s">
        <v>71</v>
      </c>
      <c r="E172" t="s">
        <v>67</v>
      </c>
    </row>
    <row r="173" spans="1:7" x14ac:dyDescent="0.3">
      <c r="A173">
        <v>1045421109</v>
      </c>
      <c r="B173" t="s">
        <v>263</v>
      </c>
      <c r="C173" t="s">
        <v>45</v>
      </c>
      <c r="D173" t="s">
        <v>97</v>
      </c>
      <c r="E173" t="s">
        <v>67</v>
      </c>
    </row>
    <row r="174" spans="1:7" x14ac:dyDescent="0.3">
      <c r="A174">
        <v>1045425583</v>
      </c>
      <c r="B174" t="s">
        <v>264</v>
      </c>
      <c r="C174" t="s">
        <v>45</v>
      </c>
      <c r="D174" t="s">
        <v>97</v>
      </c>
      <c r="E174" t="s">
        <v>67</v>
      </c>
    </row>
    <row r="175" spans="1:7" x14ac:dyDescent="0.3">
      <c r="A175">
        <v>1045429415</v>
      </c>
      <c r="B175" t="s">
        <v>265</v>
      </c>
      <c r="C175" t="s">
        <v>126</v>
      </c>
      <c r="D175" t="s">
        <v>97</v>
      </c>
      <c r="E175" t="s">
        <v>67</v>
      </c>
    </row>
    <row r="176" spans="1:7" x14ac:dyDescent="0.3">
      <c r="A176">
        <v>1045429629</v>
      </c>
      <c r="B176" t="s">
        <v>266</v>
      </c>
      <c r="C176" t="s">
        <v>45</v>
      </c>
      <c r="D176" t="s">
        <v>97</v>
      </c>
      <c r="E176" t="s">
        <v>67</v>
      </c>
    </row>
    <row r="177" spans="1:6" x14ac:dyDescent="0.3">
      <c r="A177">
        <v>1045433206</v>
      </c>
      <c r="B177" t="s">
        <v>267</v>
      </c>
      <c r="C177" t="s">
        <v>45</v>
      </c>
      <c r="D177" t="s">
        <v>97</v>
      </c>
      <c r="E177" t="s">
        <v>67</v>
      </c>
    </row>
    <row r="178" spans="1:6" x14ac:dyDescent="0.3">
      <c r="A178">
        <v>1045436242</v>
      </c>
      <c r="B178" t="s">
        <v>268</v>
      </c>
      <c r="C178" t="s">
        <v>45</v>
      </c>
      <c r="D178" t="s">
        <v>97</v>
      </c>
      <c r="E178" t="s">
        <v>67</v>
      </c>
    </row>
    <row r="179" spans="1:6" x14ac:dyDescent="0.3">
      <c r="A179">
        <v>1045438405</v>
      </c>
      <c r="B179" t="s">
        <v>269</v>
      </c>
      <c r="C179" t="s">
        <v>45</v>
      </c>
      <c r="D179" t="s">
        <v>97</v>
      </c>
      <c r="E179" t="s">
        <v>67</v>
      </c>
    </row>
    <row r="180" spans="1:6" x14ac:dyDescent="0.3">
      <c r="A180">
        <v>1045488618</v>
      </c>
      <c r="B180" t="s">
        <v>270</v>
      </c>
      <c r="C180" t="s">
        <v>45</v>
      </c>
      <c r="D180" t="s">
        <v>50</v>
      </c>
      <c r="E180" t="s">
        <v>47</v>
      </c>
    </row>
    <row r="181" spans="1:6" x14ac:dyDescent="0.3">
      <c r="A181">
        <v>1045488777</v>
      </c>
      <c r="B181" t="s">
        <v>271</v>
      </c>
      <c r="C181" t="s">
        <v>60</v>
      </c>
      <c r="D181" t="s">
        <v>61</v>
      </c>
      <c r="E181" t="s">
        <v>47</v>
      </c>
    </row>
    <row r="182" spans="1:6" x14ac:dyDescent="0.3">
      <c r="A182">
        <v>1045490293</v>
      </c>
      <c r="B182" t="s">
        <v>272</v>
      </c>
      <c r="C182" t="s">
        <v>57</v>
      </c>
      <c r="D182" t="s">
        <v>58</v>
      </c>
      <c r="E182" t="s">
        <v>47</v>
      </c>
    </row>
    <row r="183" spans="1:6" x14ac:dyDescent="0.3">
      <c r="A183">
        <v>1045493079</v>
      </c>
      <c r="B183" t="s">
        <v>273</v>
      </c>
      <c r="C183" t="s">
        <v>274</v>
      </c>
      <c r="D183" t="s">
        <v>58</v>
      </c>
      <c r="E183" t="s">
        <v>47</v>
      </c>
    </row>
    <row r="184" spans="1:6" x14ac:dyDescent="0.3">
      <c r="A184">
        <v>1045494128</v>
      </c>
      <c r="B184" t="s">
        <v>275</v>
      </c>
      <c r="C184" t="s">
        <v>52</v>
      </c>
      <c r="D184" t="s">
        <v>50</v>
      </c>
      <c r="E184" t="s">
        <v>47</v>
      </c>
    </row>
    <row r="185" spans="1:6" x14ac:dyDescent="0.3">
      <c r="A185">
        <v>1045499110</v>
      </c>
      <c r="B185" t="s">
        <v>276</v>
      </c>
      <c r="C185" t="s">
        <v>177</v>
      </c>
      <c r="D185" t="s">
        <v>50</v>
      </c>
      <c r="E185" t="s">
        <v>47</v>
      </c>
    </row>
    <row r="186" spans="1:6" x14ac:dyDescent="0.3">
      <c r="A186">
        <v>1045499783</v>
      </c>
      <c r="B186" t="s">
        <v>277</v>
      </c>
      <c r="C186" t="s">
        <v>45</v>
      </c>
      <c r="D186" t="s">
        <v>50</v>
      </c>
      <c r="E186" t="s">
        <v>47</v>
      </c>
    </row>
    <row r="187" spans="1:6" x14ac:dyDescent="0.3">
      <c r="A187">
        <v>1045504077</v>
      </c>
      <c r="B187" t="s">
        <v>278</v>
      </c>
      <c r="C187" t="s">
        <v>45</v>
      </c>
      <c r="D187" t="s">
        <v>50</v>
      </c>
      <c r="E187" t="s">
        <v>47</v>
      </c>
    </row>
    <row r="188" spans="1:6" x14ac:dyDescent="0.3">
      <c r="A188">
        <v>1045504802</v>
      </c>
      <c r="B188" t="s">
        <v>279</v>
      </c>
      <c r="C188" t="s">
        <v>45</v>
      </c>
      <c r="D188" t="s">
        <v>50</v>
      </c>
      <c r="E188" t="s">
        <v>47</v>
      </c>
    </row>
    <row r="189" spans="1:6" x14ac:dyDescent="0.3">
      <c r="A189">
        <v>1045505353</v>
      </c>
      <c r="B189" t="s">
        <v>280</v>
      </c>
      <c r="C189" t="s">
        <v>45</v>
      </c>
      <c r="D189" t="s">
        <v>50</v>
      </c>
      <c r="E189" t="s">
        <v>47</v>
      </c>
    </row>
    <row r="190" spans="1:6" x14ac:dyDescent="0.3">
      <c r="A190">
        <v>1045507636</v>
      </c>
      <c r="B190" t="s">
        <v>281</v>
      </c>
      <c r="C190" t="s">
        <v>52</v>
      </c>
      <c r="D190" t="s">
        <v>46</v>
      </c>
      <c r="E190" t="s">
        <v>47</v>
      </c>
    </row>
    <row r="191" spans="1:6" x14ac:dyDescent="0.3">
      <c r="A191">
        <v>1045509190</v>
      </c>
      <c r="B191" t="s">
        <v>282</v>
      </c>
      <c r="C191" t="s">
        <v>55</v>
      </c>
      <c r="D191" t="s">
        <v>58</v>
      </c>
      <c r="E191" t="s">
        <v>47</v>
      </c>
    </row>
    <row r="192" spans="1:6" x14ac:dyDescent="0.3">
      <c r="A192">
        <v>1045510473</v>
      </c>
      <c r="B192" t="s">
        <v>283</v>
      </c>
      <c r="C192" t="s">
        <v>45</v>
      </c>
      <c r="D192" t="s">
        <v>50</v>
      </c>
      <c r="E192" t="s">
        <v>47</v>
      </c>
      <c r="F192" s="50"/>
    </row>
    <row r="193" spans="1:5" x14ac:dyDescent="0.3">
      <c r="A193">
        <v>1045512205</v>
      </c>
      <c r="B193" t="s">
        <v>284</v>
      </c>
      <c r="C193" t="s">
        <v>57</v>
      </c>
      <c r="D193" t="s">
        <v>58</v>
      </c>
      <c r="E193" t="s">
        <v>47</v>
      </c>
    </row>
    <row r="194" spans="1:5" x14ac:dyDescent="0.3">
      <c r="A194">
        <v>1045513391</v>
      </c>
      <c r="B194" t="s">
        <v>285</v>
      </c>
      <c r="C194" t="s">
        <v>45</v>
      </c>
      <c r="D194" t="s">
        <v>50</v>
      </c>
      <c r="E194" t="s">
        <v>47</v>
      </c>
    </row>
    <row r="195" spans="1:5" x14ac:dyDescent="0.3">
      <c r="A195">
        <v>1045513449</v>
      </c>
      <c r="B195" t="s">
        <v>286</v>
      </c>
      <c r="C195" t="s">
        <v>45</v>
      </c>
      <c r="D195" t="s">
        <v>50</v>
      </c>
      <c r="E195" t="s">
        <v>47</v>
      </c>
    </row>
    <row r="196" spans="1:5" x14ac:dyDescent="0.3">
      <c r="A196">
        <v>1045513660</v>
      </c>
      <c r="B196" t="s">
        <v>287</v>
      </c>
      <c r="C196" t="s">
        <v>45</v>
      </c>
      <c r="D196" t="s">
        <v>50</v>
      </c>
      <c r="E196" t="s">
        <v>47</v>
      </c>
    </row>
    <row r="197" spans="1:5" x14ac:dyDescent="0.3">
      <c r="A197">
        <v>1045514249</v>
      </c>
      <c r="B197" t="s">
        <v>288</v>
      </c>
      <c r="C197" t="s">
        <v>45</v>
      </c>
      <c r="D197" t="s">
        <v>50</v>
      </c>
      <c r="E197" t="s">
        <v>47</v>
      </c>
    </row>
    <row r="198" spans="1:5" x14ac:dyDescent="0.3">
      <c r="A198">
        <v>1045514618</v>
      </c>
      <c r="B198" t="s">
        <v>289</v>
      </c>
      <c r="C198" t="s">
        <v>45</v>
      </c>
      <c r="D198" t="s">
        <v>50</v>
      </c>
      <c r="E198" t="s">
        <v>47</v>
      </c>
    </row>
    <row r="199" spans="1:5" x14ac:dyDescent="0.3">
      <c r="A199">
        <v>1045514729</v>
      </c>
      <c r="B199" t="s">
        <v>290</v>
      </c>
      <c r="C199" t="s">
        <v>57</v>
      </c>
      <c r="D199" t="s">
        <v>58</v>
      </c>
      <c r="E199" t="s">
        <v>47</v>
      </c>
    </row>
    <row r="200" spans="1:5" x14ac:dyDescent="0.3">
      <c r="A200">
        <v>1045516249</v>
      </c>
      <c r="B200" t="s">
        <v>291</v>
      </c>
      <c r="C200" t="s">
        <v>292</v>
      </c>
      <c r="D200" t="s">
        <v>50</v>
      </c>
      <c r="E200" t="s">
        <v>47</v>
      </c>
    </row>
    <row r="201" spans="1:5" x14ac:dyDescent="0.3">
      <c r="A201">
        <v>1045517863</v>
      </c>
      <c r="B201" t="s">
        <v>293</v>
      </c>
      <c r="C201" t="s">
        <v>45</v>
      </c>
      <c r="D201" t="s">
        <v>50</v>
      </c>
      <c r="E201" t="s">
        <v>47</v>
      </c>
    </row>
    <row r="202" spans="1:5" x14ac:dyDescent="0.3">
      <c r="A202">
        <v>1045518651</v>
      </c>
      <c r="B202" t="s">
        <v>294</v>
      </c>
      <c r="C202" t="s">
        <v>45</v>
      </c>
      <c r="D202" t="s">
        <v>50</v>
      </c>
      <c r="E202" t="s">
        <v>47</v>
      </c>
    </row>
    <row r="203" spans="1:5" x14ac:dyDescent="0.3">
      <c r="A203">
        <v>1045520851</v>
      </c>
      <c r="B203" t="s">
        <v>295</v>
      </c>
      <c r="C203" t="s">
        <v>57</v>
      </c>
      <c r="D203" t="s">
        <v>58</v>
      </c>
      <c r="E203" t="s">
        <v>47</v>
      </c>
    </row>
    <row r="204" spans="1:5" x14ac:dyDescent="0.3">
      <c r="A204">
        <v>1045523883</v>
      </c>
      <c r="B204" t="s">
        <v>296</v>
      </c>
      <c r="C204" t="s">
        <v>57</v>
      </c>
      <c r="D204" t="s">
        <v>58</v>
      </c>
      <c r="E204" t="s">
        <v>47</v>
      </c>
    </row>
    <row r="205" spans="1:5" x14ac:dyDescent="0.3">
      <c r="A205">
        <v>1045527137</v>
      </c>
      <c r="B205" t="s">
        <v>297</v>
      </c>
      <c r="C205" t="s">
        <v>45</v>
      </c>
      <c r="D205" t="s">
        <v>50</v>
      </c>
      <c r="E205" t="s">
        <v>47</v>
      </c>
    </row>
    <row r="206" spans="1:5" x14ac:dyDescent="0.3">
      <c r="A206">
        <v>1045528599</v>
      </c>
      <c r="B206" t="s">
        <v>298</v>
      </c>
      <c r="C206" t="s">
        <v>63</v>
      </c>
      <c r="D206" t="s">
        <v>50</v>
      </c>
      <c r="E206" t="s">
        <v>47</v>
      </c>
    </row>
    <row r="207" spans="1:5" x14ac:dyDescent="0.3">
      <c r="A207">
        <v>1045528625</v>
      </c>
      <c r="B207" t="s">
        <v>299</v>
      </c>
      <c r="C207" t="s">
        <v>52</v>
      </c>
      <c r="D207" t="s">
        <v>46</v>
      </c>
      <c r="E207" t="s">
        <v>47</v>
      </c>
    </row>
    <row r="208" spans="1:5" x14ac:dyDescent="0.3">
      <c r="A208">
        <v>1045529304</v>
      </c>
      <c r="B208" t="s">
        <v>300</v>
      </c>
      <c r="C208" t="s">
        <v>45</v>
      </c>
      <c r="D208" t="s">
        <v>50</v>
      </c>
      <c r="E208" t="s">
        <v>47</v>
      </c>
    </row>
    <row r="209" spans="1:5" x14ac:dyDescent="0.3">
      <c r="A209">
        <v>1045529305</v>
      </c>
      <c r="B209" t="s">
        <v>301</v>
      </c>
      <c r="C209" t="s">
        <v>45</v>
      </c>
      <c r="D209" t="s">
        <v>50</v>
      </c>
      <c r="E209" t="s">
        <v>47</v>
      </c>
    </row>
    <row r="210" spans="1:5" x14ac:dyDescent="0.3">
      <c r="A210">
        <v>1046526677</v>
      </c>
      <c r="B210" t="s">
        <v>302</v>
      </c>
      <c r="C210" t="s">
        <v>60</v>
      </c>
      <c r="D210" t="s">
        <v>61</v>
      </c>
      <c r="E210" t="s">
        <v>47</v>
      </c>
    </row>
    <row r="211" spans="1:5" x14ac:dyDescent="0.3">
      <c r="A211">
        <v>1046532937</v>
      </c>
      <c r="B211" t="s">
        <v>303</v>
      </c>
      <c r="C211" t="s">
        <v>126</v>
      </c>
      <c r="D211" t="s">
        <v>50</v>
      </c>
      <c r="E211" t="s">
        <v>47</v>
      </c>
    </row>
    <row r="212" spans="1:5" x14ac:dyDescent="0.3">
      <c r="A212">
        <v>1047497952</v>
      </c>
      <c r="B212" t="s">
        <v>304</v>
      </c>
      <c r="C212" t="s">
        <v>45</v>
      </c>
      <c r="D212" t="s">
        <v>85</v>
      </c>
      <c r="E212" t="s">
        <v>67</v>
      </c>
    </row>
    <row r="213" spans="1:5" x14ac:dyDescent="0.3">
      <c r="A213">
        <v>1062428985</v>
      </c>
      <c r="B213" t="s">
        <v>305</v>
      </c>
      <c r="C213" t="s">
        <v>306</v>
      </c>
      <c r="D213" t="s">
        <v>89</v>
      </c>
      <c r="E213" t="s">
        <v>89</v>
      </c>
    </row>
    <row r="214" spans="1:5" x14ac:dyDescent="0.3">
      <c r="A214">
        <v>1063183003</v>
      </c>
      <c r="B214" t="s">
        <v>307</v>
      </c>
      <c r="C214" t="s">
        <v>308</v>
      </c>
      <c r="D214" t="s">
        <v>88</v>
      </c>
      <c r="E214" t="s">
        <v>89</v>
      </c>
    </row>
    <row r="215" spans="1:5" x14ac:dyDescent="0.3">
      <c r="A215">
        <v>1063275417</v>
      </c>
      <c r="B215" t="s">
        <v>309</v>
      </c>
      <c r="C215" t="s">
        <v>91</v>
      </c>
      <c r="D215" t="s">
        <v>89</v>
      </c>
      <c r="E215" t="s">
        <v>89</v>
      </c>
    </row>
    <row r="216" spans="1:5" x14ac:dyDescent="0.3">
      <c r="A216">
        <v>1063367733</v>
      </c>
      <c r="B216" t="s">
        <v>310</v>
      </c>
      <c r="C216" t="s">
        <v>45</v>
      </c>
      <c r="D216" t="s">
        <v>85</v>
      </c>
      <c r="E216" t="s">
        <v>67</v>
      </c>
    </row>
    <row r="217" spans="1:5" x14ac:dyDescent="0.3">
      <c r="A217">
        <v>1064993332</v>
      </c>
      <c r="B217" t="s">
        <v>311</v>
      </c>
      <c r="C217" t="s">
        <v>312</v>
      </c>
      <c r="D217" t="s">
        <v>88</v>
      </c>
      <c r="E217" t="s">
        <v>89</v>
      </c>
    </row>
    <row r="218" spans="1:5" x14ac:dyDescent="0.3">
      <c r="A218">
        <v>1066512078</v>
      </c>
      <c r="B218" t="s">
        <v>313</v>
      </c>
      <c r="C218" t="s">
        <v>45</v>
      </c>
      <c r="D218" t="s">
        <v>97</v>
      </c>
      <c r="E218" t="s">
        <v>67</v>
      </c>
    </row>
    <row r="219" spans="1:5" x14ac:dyDescent="0.3">
      <c r="A219">
        <v>1066525011</v>
      </c>
      <c r="B219" t="s">
        <v>314</v>
      </c>
      <c r="C219" t="s">
        <v>45</v>
      </c>
      <c r="D219" t="s">
        <v>71</v>
      </c>
      <c r="E219" t="s">
        <v>67</v>
      </c>
    </row>
    <row r="220" spans="1:5" x14ac:dyDescent="0.3">
      <c r="A220">
        <v>1066569951</v>
      </c>
      <c r="B220" t="s">
        <v>315</v>
      </c>
      <c r="C220" t="s">
        <v>45</v>
      </c>
      <c r="D220" t="s">
        <v>66</v>
      </c>
      <c r="E220" t="s">
        <v>67</v>
      </c>
    </row>
    <row r="221" spans="1:5" x14ac:dyDescent="0.3">
      <c r="A221">
        <v>1066718008</v>
      </c>
      <c r="B221" t="s">
        <v>316</v>
      </c>
      <c r="C221" t="s">
        <v>45</v>
      </c>
      <c r="D221" t="s">
        <v>66</v>
      </c>
      <c r="E221" t="s">
        <v>67</v>
      </c>
    </row>
    <row r="222" spans="1:5" x14ac:dyDescent="0.3">
      <c r="A222">
        <v>1067095204</v>
      </c>
      <c r="B222" t="s">
        <v>317</v>
      </c>
      <c r="C222" t="s">
        <v>318</v>
      </c>
      <c r="D222" t="s">
        <v>66</v>
      </c>
      <c r="E222" t="s">
        <v>67</v>
      </c>
    </row>
    <row r="223" spans="1:5" x14ac:dyDescent="0.3">
      <c r="A223">
        <v>1067847096</v>
      </c>
      <c r="B223" t="s">
        <v>319</v>
      </c>
      <c r="C223" t="s">
        <v>52</v>
      </c>
      <c r="D223" t="s">
        <v>46</v>
      </c>
      <c r="E223" t="s">
        <v>47</v>
      </c>
    </row>
    <row r="224" spans="1:5" x14ac:dyDescent="0.3">
      <c r="A224">
        <v>1067861300</v>
      </c>
      <c r="B224" t="s">
        <v>320</v>
      </c>
      <c r="C224" t="s">
        <v>321</v>
      </c>
      <c r="D224" t="s">
        <v>89</v>
      </c>
      <c r="E224" t="s">
        <v>89</v>
      </c>
    </row>
    <row r="225" spans="1:6" x14ac:dyDescent="0.3">
      <c r="A225">
        <v>1067879464</v>
      </c>
      <c r="B225" t="s">
        <v>322</v>
      </c>
      <c r="C225" t="s">
        <v>323</v>
      </c>
      <c r="D225" t="s">
        <v>89</v>
      </c>
      <c r="E225" t="s">
        <v>89</v>
      </c>
    </row>
    <row r="226" spans="1:6" x14ac:dyDescent="0.3">
      <c r="A226">
        <v>1067881761</v>
      </c>
      <c r="B226" t="s">
        <v>324</v>
      </c>
      <c r="C226" t="s">
        <v>325</v>
      </c>
      <c r="D226" t="s">
        <v>88</v>
      </c>
      <c r="E226" t="s">
        <v>89</v>
      </c>
    </row>
    <row r="227" spans="1:6" x14ac:dyDescent="0.3">
      <c r="A227">
        <v>1067901086</v>
      </c>
      <c r="B227" t="s">
        <v>326</v>
      </c>
      <c r="C227" t="s">
        <v>327</v>
      </c>
      <c r="D227" t="s">
        <v>89</v>
      </c>
      <c r="E227" t="s">
        <v>89</v>
      </c>
    </row>
    <row r="228" spans="1:6" x14ac:dyDescent="0.3">
      <c r="A228">
        <v>1067923507</v>
      </c>
      <c r="B228" t="s">
        <v>328</v>
      </c>
      <c r="C228" t="s">
        <v>329</v>
      </c>
      <c r="D228" t="s">
        <v>89</v>
      </c>
      <c r="E228" t="s">
        <v>89</v>
      </c>
    </row>
    <row r="229" spans="1:6" x14ac:dyDescent="0.3">
      <c r="A229">
        <v>1067949948</v>
      </c>
      <c r="B229" t="s">
        <v>330</v>
      </c>
      <c r="C229" t="s">
        <v>106</v>
      </c>
      <c r="D229" t="s">
        <v>88</v>
      </c>
      <c r="E229" t="s">
        <v>89</v>
      </c>
      <c r="F229" s="50"/>
    </row>
    <row r="230" spans="1:6" x14ac:dyDescent="0.3">
      <c r="A230">
        <v>1067951286</v>
      </c>
      <c r="B230" t="s">
        <v>331</v>
      </c>
      <c r="C230" t="s">
        <v>318</v>
      </c>
      <c r="D230" t="s">
        <v>88</v>
      </c>
      <c r="E230" t="s">
        <v>89</v>
      </c>
    </row>
    <row r="231" spans="1:6" x14ac:dyDescent="0.3">
      <c r="A231">
        <v>1067963850</v>
      </c>
      <c r="B231" t="s">
        <v>332</v>
      </c>
      <c r="C231" t="s">
        <v>52</v>
      </c>
      <c r="D231" t="s">
        <v>89</v>
      </c>
      <c r="E231" t="s">
        <v>89</v>
      </c>
    </row>
    <row r="232" spans="1:6" x14ac:dyDescent="0.3">
      <c r="A232">
        <v>1068584870</v>
      </c>
      <c r="B232" t="s">
        <v>333</v>
      </c>
      <c r="C232" t="s">
        <v>334</v>
      </c>
      <c r="D232" t="s">
        <v>58</v>
      </c>
      <c r="E232" t="s">
        <v>47</v>
      </c>
    </row>
    <row r="233" spans="1:6" x14ac:dyDescent="0.3">
      <c r="A233">
        <v>1068821818</v>
      </c>
      <c r="B233" t="s">
        <v>335</v>
      </c>
      <c r="C233" t="s">
        <v>336</v>
      </c>
      <c r="D233" t="s">
        <v>337</v>
      </c>
      <c r="E233" t="s">
        <v>47</v>
      </c>
    </row>
    <row r="234" spans="1:6" x14ac:dyDescent="0.3">
      <c r="A234">
        <v>1071357589</v>
      </c>
      <c r="B234" t="s">
        <v>338</v>
      </c>
      <c r="C234" t="s">
        <v>339</v>
      </c>
      <c r="D234" t="s">
        <v>89</v>
      </c>
      <c r="E234" t="s">
        <v>89</v>
      </c>
    </row>
    <row r="235" spans="1:6" x14ac:dyDescent="0.3">
      <c r="A235">
        <v>1073975068</v>
      </c>
      <c r="B235" t="s">
        <v>340</v>
      </c>
      <c r="C235" t="s">
        <v>45</v>
      </c>
      <c r="D235" t="s">
        <v>193</v>
      </c>
      <c r="E235" t="s">
        <v>47</v>
      </c>
    </row>
    <row r="236" spans="1:6" x14ac:dyDescent="0.3">
      <c r="A236">
        <v>1073976345</v>
      </c>
      <c r="B236" t="s">
        <v>341</v>
      </c>
      <c r="C236" t="s">
        <v>45</v>
      </c>
      <c r="D236" t="s">
        <v>97</v>
      </c>
      <c r="E236" t="s">
        <v>67</v>
      </c>
    </row>
    <row r="237" spans="1:6" x14ac:dyDescent="0.3">
      <c r="A237">
        <v>1074716286</v>
      </c>
      <c r="B237" t="s">
        <v>342</v>
      </c>
      <c r="C237" t="s">
        <v>45</v>
      </c>
      <c r="D237" t="s">
        <v>50</v>
      </c>
      <c r="E237" t="s">
        <v>47</v>
      </c>
    </row>
    <row r="238" spans="1:6" x14ac:dyDescent="0.3">
      <c r="A238">
        <v>1077451150</v>
      </c>
      <c r="B238" t="s">
        <v>343</v>
      </c>
      <c r="C238" t="s">
        <v>254</v>
      </c>
      <c r="D238" t="s">
        <v>131</v>
      </c>
      <c r="E238" t="s">
        <v>47</v>
      </c>
    </row>
    <row r="239" spans="1:6" x14ac:dyDescent="0.3">
      <c r="A239">
        <v>1077459679</v>
      </c>
      <c r="B239" t="s">
        <v>344</v>
      </c>
      <c r="C239" t="s">
        <v>52</v>
      </c>
      <c r="D239" t="s">
        <v>46</v>
      </c>
      <c r="E239" t="s">
        <v>47</v>
      </c>
    </row>
    <row r="240" spans="1:6" x14ac:dyDescent="0.3">
      <c r="A240">
        <v>10781904</v>
      </c>
      <c r="B240" t="s">
        <v>345</v>
      </c>
      <c r="C240" t="s">
        <v>346</v>
      </c>
      <c r="D240" t="s">
        <v>88</v>
      </c>
      <c r="E240" t="s">
        <v>89</v>
      </c>
    </row>
    <row r="241" spans="1:5" x14ac:dyDescent="0.3">
      <c r="A241">
        <v>10782769</v>
      </c>
      <c r="B241" t="s">
        <v>347</v>
      </c>
      <c r="C241" t="s">
        <v>348</v>
      </c>
      <c r="D241" t="s">
        <v>88</v>
      </c>
      <c r="E241" t="s">
        <v>89</v>
      </c>
    </row>
    <row r="242" spans="1:5" x14ac:dyDescent="0.3">
      <c r="A242">
        <v>1082693702</v>
      </c>
      <c r="B242" t="s">
        <v>349</v>
      </c>
      <c r="C242" t="s">
        <v>350</v>
      </c>
      <c r="D242" t="s">
        <v>89</v>
      </c>
      <c r="E242" t="s">
        <v>89</v>
      </c>
    </row>
    <row r="243" spans="1:5" x14ac:dyDescent="0.3">
      <c r="A243">
        <v>1090149776</v>
      </c>
      <c r="B243" t="s">
        <v>351</v>
      </c>
      <c r="C243" t="s">
        <v>45</v>
      </c>
      <c r="D243" t="s">
        <v>46</v>
      </c>
      <c r="E243" t="s">
        <v>47</v>
      </c>
    </row>
    <row r="244" spans="1:5" x14ac:dyDescent="0.3">
      <c r="A244">
        <v>10902301</v>
      </c>
      <c r="B244" t="s">
        <v>352</v>
      </c>
      <c r="C244" t="s">
        <v>57</v>
      </c>
      <c r="D244" t="s">
        <v>58</v>
      </c>
      <c r="E244" t="s">
        <v>47</v>
      </c>
    </row>
    <row r="245" spans="1:5" x14ac:dyDescent="0.3">
      <c r="A245">
        <v>1090507660</v>
      </c>
      <c r="B245" t="s">
        <v>353</v>
      </c>
      <c r="C245" t="s">
        <v>45</v>
      </c>
      <c r="D245" t="s">
        <v>46</v>
      </c>
      <c r="E245" t="s">
        <v>47</v>
      </c>
    </row>
    <row r="246" spans="1:5" x14ac:dyDescent="0.3">
      <c r="A246">
        <v>10965331</v>
      </c>
      <c r="B246" t="s">
        <v>354</v>
      </c>
      <c r="C246" t="s">
        <v>45</v>
      </c>
      <c r="D246" t="s">
        <v>46</v>
      </c>
      <c r="E246" t="s">
        <v>47</v>
      </c>
    </row>
    <row r="247" spans="1:5" x14ac:dyDescent="0.3">
      <c r="A247">
        <v>1100695402</v>
      </c>
      <c r="B247" t="s">
        <v>355</v>
      </c>
      <c r="C247" t="s">
        <v>45</v>
      </c>
      <c r="D247" t="s">
        <v>131</v>
      </c>
      <c r="E247" t="s">
        <v>47</v>
      </c>
    </row>
    <row r="248" spans="1:5" x14ac:dyDescent="0.3">
      <c r="A248">
        <v>1101384212</v>
      </c>
      <c r="B248" t="s">
        <v>356</v>
      </c>
      <c r="C248" t="s">
        <v>45</v>
      </c>
      <c r="D248" t="s">
        <v>66</v>
      </c>
      <c r="E248" t="s">
        <v>67</v>
      </c>
    </row>
    <row r="249" spans="1:5" x14ac:dyDescent="0.3">
      <c r="A249">
        <v>1102844506</v>
      </c>
      <c r="B249" t="s">
        <v>357</v>
      </c>
      <c r="C249" t="s">
        <v>45</v>
      </c>
      <c r="D249" t="s">
        <v>255</v>
      </c>
      <c r="E249" t="s">
        <v>47</v>
      </c>
    </row>
    <row r="250" spans="1:5" x14ac:dyDescent="0.3">
      <c r="A250">
        <v>1102878124</v>
      </c>
      <c r="B250" t="s">
        <v>358</v>
      </c>
      <c r="C250" t="s">
        <v>45</v>
      </c>
      <c r="D250" t="s">
        <v>66</v>
      </c>
      <c r="E250" t="s">
        <v>67</v>
      </c>
    </row>
    <row r="251" spans="1:5" x14ac:dyDescent="0.3">
      <c r="A251">
        <v>1108761871</v>
      </c>
      <c r="B251" t="s">
        <v>359</v>
      </c>
      <c r="C251" t="s">
        <v>45</v>
      </c>
      <c r="D251" t="s">
        <v>66</v>
      </c>
      <c r="E251" t="s">
        <v>67</v>
      </c>
    </row>
    <row r="252" spans="1:5" x14ac:dyDescent="0.3">
      <c r="A252">
        <v>11106031</v>
      </c>
      <c r="B252" t="s">
        <v>360</v>
      </c>
      <c r="C252" t="s">
        <v>57</v>
      </c>
      <c r="D252" t="s">
        <v>58</v>
      </c>
      <c r="E252" t="s">
        <v>47</v>
      </c>
    </row>
    <row r="253" spans="1:5" x14ac:dyDescent="0.3">
      <c r="A253">
        <v>1120363525</v>
      </c>
      <c r="B253" t="s">
        <v>361</v>
      </c>
      <c r="C253" t="s">
        <v>52</v>
      </c>
      <c r="D253" t="s">
        <v>50</v>
      </c>
      <c r="E253" t="s">
        <v>47</v>
      </c>
    </row>
    <row r="254" spans="1:5" x14ac:dyDescent="0.3">
      <c r="A254">
        <v>1123995361</v>
      </c>
      <c r="B254" t="s">
        <v>362</v>
      </c>
      <c r="C254" t="s">
        <v>45</v>
      </c>
      <c r="D254" t="s">
        <v>50</v>
      </c>
      <c r="E254" t="s">
        <v>47</v>
      </c>
    </row>
    <row r="255" spans="1:5" x14ac:dyDescent="0.3">
      <c r="A255">
        <v>1128423033</v>
      </c>
      <c r="B255" t="s">
        <v>363</v>
      </c>
      <c r="C255" t="s">
        <v>63</v>
      </c>
      <c r="D255" t="s">
        <v>46</v>
      </c>
      <c r="E255" t="s">
        <v>47</v>
      </c>
    </row>
    <row r="256" spans="1:5" x14ac:dyDescent="0.3">
      <c r="A256">
        <v>1128425064</v>
      </c>
      <c r="B256" t="s">
        <v>364</v>
      </c>
      <c r="C256" t="s">
        <v>365</v>
      </c>
      <c r="D256" t="s">
        <v>89</v>
      </c>
      <c r="E256" t="s">
        <v>89</v>
      </c>
    </row>
    <row r="257" spans="1:5" x14ac:dyDescent="0.3">
      <c r="A257">
        <v>1143328146</v>
      </c>
      <c r="B257" t="s">
        <v>366</v>
      </c>
      <c r="C257" t="s">
        <v>367</v>
      </c>
      <c r="D257" t="s">
        <v>89</v>
      </c>
      <c r="E257" t="s">
        <v>89</v>
      </c>
    </row>
    <row r="258" spans="1:5" x14ac:dyDescent="0.3">
      <c r="A258">
        <v>1148206249</v>
      </c>
      <c r="B258" t="s">
        <v>368</v>
      </c>
      <c r="C258" t="s">
        <v>45</v>
      </c>
      <c r="D258" t="s">
        <v>97</v>
      </c>
      <c r="E258" t="s">
        <v>67</v>
      </c>
    </row>
    <row r="259" spans="1:5" x14ac:dyDescent="0.3">
      <c r="A259">
        <v>1151196680</v>
      </c>
      <c r="B259" t="s">
        <v>369</v>
      </c>
      <c r="C259" t="s">
        <v>45</v>
      </c>
      <c r="D259" t="s">
        <v>50</v>
      </c>
      <c r="E259" t="s">
        <v>47</v>
      </c>
    </row>
    <row r="260" spans="1:5" x14ac:dyDescent="0.3">
      <c r="A260">
        <v>1152208427</v>
      </c>
      <c r="B260" t="s">
        <v>370</v>
      </c>
      <c r="C260" t="s">
        <v>371</v>
      </c>
      <c r="D260" t="s">
        <v>372</v>
      </c>
      <c r="E260" t="s">
        <v>47</v>
      </c>
    </row>
    <row r="261" spans="1:5" x14ac:dyDescent="0.3">
      <c r="A261">
        <v>1152693374</v>
      </c>
      <c r="B261" t="s">
        <v>373</v>
      </c>
      <c r="C261" t="s">
        <v>45</v>
      </c>
      <c r="D261" t="s">
        <v>85</v>
      </c>
      <c r="E261" t="s">
        <v>67</v>
      </c>
    </row>
    <row r="262" spans="1:5" x14ac:dyDescent="0.3">
      <c r="A262">
        <v>11560244</v>
      </c>
      <c r="B262" t="s">
        <v>374</v>
      </c>
      <c r="C262" t="s">
        <v>45</v>
      </c>
      <c r="D262" t="s">
        <v>50</v>
      </c>
      <c r="E262" t="s">
        <v>47</v>
      </c>
    </row>
    <row r="263" spans="1:5" x14ac:dyDescent="0.3">
      <c r="A263">
        <v>11900666</v>
      </c>
      <c r="B263" t="s">
        <v>375</v>
      </c>
      <c r="C263" t="s">
        <v>45</v>
      </c>
      <c r="D263" t="s">
        <v>77</v>
      </c>
      <c r="E263" t="s">
        <v>47</v>
      </c>
    </row>
    <row r="264" spans="1:5" x14ac:dyDescent="0.3">
      <c r="A264">
        <v>1192781880</v>
      </c>
      <c r="B264" t="s">
        <v>376</v>
      </c>
      <c r="C264" t="s">
        <v>45</v>
      </c>
      <c r="D264" t="s">
        <v>50</v>
      </c>
      <c r="E264" t="s">
        <v>47</v>
      </c>
    </row>
    <row r="265" spans="1:5" x14ac:dyDescent="0.3">
      <c r="A265">
        <v>1193081074</v>
      </c>
      <c r="B265" t="s">
        <v>377</v>
      </c>
      <c r="C265" t="s">
        <v>378</v>
      </c>
      <c r="D265" t="s">
        <v>89</v>
      </c>
      <c r="E265" t="s">
        <v>89</v>
      </c>
    </row>
    <row r="266" spans="1:5" x14ac:dyDescent="0.3">
      <c r="A266">
        <v>1193100217</v>
      </c>
      <c r="B266" t="s">
        <v>379</v>
      </c>
      <c r="C266" t="s">
        <v>380</v>
      </c>
      <c r="D266" t="s">
        <v>66</v>
      </c>
      <c r="E266" t="s">
        <v>67</v>
      </c>
    </row>
    <row r="267" spans="1:5" x14ac:dyDescent="0.3">
      <c r="A267">
        <v>1193270095</v>
      </c>
      <c r="B267" t="s">
        <v>381</v>
      </c>
      <c r="C267" t="s">
        <v>60</v>
      </c>
      <c r="D267" t="s">
        <v>61</v>
      </c>
      <c r="E267" t="s">
        <v>47</v>
      </c>
    </row>
    <row r="268" spans="1:5" x14ac:dyDescent="0.3">
      <c r="A268">
        <v>1193459564</v>
      </c>
      <c r="B268" t="s">
        <v>382</v>
      </c>
      <c r="C268" t="s">
        <v>383</v>
      </c>
      <c r="D268" t="s">
        <v>88</v>
      </c>
      <c r="E268" t="s">
        <v>89</v>
      </c>
    </row>
    <row r="269" spans="1:5" x14ac:dyDescent="0.3">
      <c r="A269">
        <v>1193516213</v>
      </c>
      <c r="B269" t="s">
        <v>384</v>
      </c>
      <c r="C269" t="s">
        <v>106</v>
      </c>
      <c r="D269" t="s">
        <v>89</v>
      </c>
      <c r="E269" t="s">
        <v>89</v>
      </c>
    </row>
    <row r="270" spans="1:5" x14ac:dyDescent="0.3">
      <c r="A270">
        <v>1193529049</v>
      </c>
      <c r="B270" t="s">
        <v>385</v>
      </c>
      <c r="C270" t="s">
        <v>45</v>
      </c>
      <c r="D270" t="s">
        <v>66</v>
      </c>
      <c r="E270" t="s">
        <v>67</v>
      </c>
    </row>
    <row r="271" spans="1:5" x14ac:dyDescent="0.3">
      <c r="A271">
        <v>12000945</v>
      </c>
      <c r="B271" t="s">
        <v>386</v>
      </c>
      <c r="C271" t="s">
        <v>45</v>
      </c>
      <c r="D271" t="s">
        <v>50</v>
      </c>
      <c r="E271" t="s">
        <v>47</v>
      </c>
    </row>
    <row r="272" spans="1:5" x14ac:dyDescent="0.3">
      <c r="A272">
        <v>1214738083</v>
      </c>
      <c r="B272" t="s">
        <v>387</v>
      </c>
      <c r="C272" t="s">
        <v>45</v>
      </c>
      <c r="D272" t="s">
        <v>46</v>
      </c>
      <c r="E272" t="s">
        <v>47</v>
      </c>
    </row>
    <row r="273" spans="1:5" x14ac:dyDescent="0.3">
      <c r="A273">
        <v>12266390</v>
      </c>
      <c r="B273" t="s">
        <v>388</v>
      </c>
      <c r="C273" t="s">
        <v>274</v>
      </c>
      <c r="D273" t="s">
        <v>58</v>
      </c>
      <c r="E273" t="s">
        <v>47</v>
      </c>
    </row>
    <row r="274" spans="1:5" x14ac:dyDescent="0.3">
      <c r="A274">
        <v>1232599165</v>
      </c>
      <c r="B274" t="s">
        <v>389</v>
      </c>
      <c r="C274" t="s">
        <v>45</v>
      </c>
      <c r="D274" t="s">
        <v>46</v>
      </c>
      <c r="E274" t="s">
        <v>47</v>
      </c>
    </row>
    <row r="275" spans="1:5" x14ac:dyDescent="0.3">
      <c r="A275">
        <v>15307873</v>
      </c>
      <c r="B275" t="s">
        <v>390</v>
      </c>
      <c r="C275" t="s">
        <v>52</v>
      </c>
      <c r="D275" t="s">
        <v>46</v>
      </c>
      <c r="E275" t="s">
        <v>47</v>
      </c>
    </row>
    <row r="276" spans="1:5" x14ac:dyDescent="0.3">
      <c r="A276">
        <v>15611770</v>
      </c>
      <c r="B276" t="s">
        <v>391</v>
      </c>
      <c r="C276" t="s">
        <v>52</v>
      </c>
      <c r="D276" t="s">
        <v>74</v>
      </c>
      <c r="E276" t="s">
        <v>67</v>
      </c>
    </row>
    <row r="277" spans="1:5" x14ac:dyDescent="0.3">
      <c r="A277">
        <v>15668447</v>
      </c>
      <c r="B277" t="s">
        <v>392</v>
      </c>
      <c r="C277" t="s">
        <v>45</v>
      </c>
      <c r="D277" t="s">
        <v>97</v>
      </c>
      <c r="E277" t="s">
        <v>67</v>
      </c>
    </row>
    <row r="278" spans="1:5" x14ac:dyDescent="0.3">
      <c r="A278">
        <v>18755237</v>
      </c>
      <c r="B278" t="s">
        <v>393</v>
      </c>
      <c r="C278" t="s">
        <v>55</v>
      </c>
      <c r="D278" t="s">
        <v>66</v>
      </c>
      <c r="E278" t="s">
        <v>67</v>
      </c>
    </row>
    <row r="279" spans="1:5" x14ac:dyDescent="0.3">
      <c r="A279">
        <v>18859348</v>
      </c>
      <c r="B279" t="s">
        <v>394</v>
      </c>
      <c r="C279" t="s">
        <v>45</v>
      </c>
      <c r="D279" t="s">
        <v>46</v>
      </c>
      <c r="E279" t="s">
        <v>47</v>
      </c>
    </row>
    <row r="280" spans="1:5" x14ac:dyDescent="0.3">
      <c r="A280">
        <v>2000007590</v>
      </c>
      <c r="B280" t="s">
        <v>395</v>
      </c>
      <c r="C280" t="s">
        <v>45</v>
      </c>
      <c r="D280" t="s">
        <v>66</v>
      </c>
      <c r="E280" t="s">
        <v>67</v>
      </c>
    </row>
    <row r="281" spans="1:5" x14ac:dyDescent="0.3">
      <c r="A281">
        <v>25776308</v>
      </c>
      <c r="B281" t="s">
        <v>396</v>
      </c>
      <c r="C281" t="s">
        <v>126</v>
      </c>
      <c r="D281" t="s">
        <v>251</v>
      </c>
      <c r="E281" t="s">
        <v>47</v>
      </c>
    </row>
    <row r="282" spans="1:5" x14ac:dyDescent="0.3">
      <c r="A282">
        <v>25872996</v>
      </c>
      <c r="B282" t="s">
        <v>397</v>
      </c>
      <c r="C282" t="s">
        <v>126</v>
      </c>
      <c r="D282" t="s">
        <v>46</v>
      </c>
      <c r="E282" t="s">
        <v>47</v>
      </c>
    </row>
    <row r="283" spans="1:5" x14ac:dyDescent="0.3">
      <c r="A283">
        <v>31011279</v>
      </c>
      <c r="B283" t="s">
        <v>398</v>
      </c>
      <c r="C283" t="s">
        <v>45</v>
      </c>
      <c r="D283" t="s">
        <v>97</v>
      </c>
      <c r="E283" t="s">
        <v>67</v>
      </c>
    </row>
    <row r="284" spans="1:5" x14ac:dyDescent="0.3">
      <c r="A284">
        <v>32117466</v>
      </c>
      <c r="B284" t="s">
        <v>399</v>
      </c>
      <c r="C284" t="s">
        <v>45</v>
      </c>
      <c r="D284" t="s">
        <v>97</v>
      </c>
      <c r="E284" t="s">
        <v>67</v>
      </c>
    </row>
    <row r="285" spans="1:5" x14ac:dyDescent="0.3">
      <c r="A285">
        <v>32119742</v>
      </c>
      <c r="B285" t="s">
        <v>400</v>
      </c>
      <c r="C285" t="s">
        <v>126</v>
      </c>
      <c r="D285" t="s">
        <v>97</v>
      </c>
      <c r="E285" t="s">
        <v>67</v>
      </c>
    </row>
    <row r="286" spans="1:5" x14ac:dyDescent="0.3">
      <c r="A286">
        <v>32203871</v>
      </c>
      <c r="B286" t="s">
        <v>401</v>
      </c>
      <c r="C286" t="s">
        <v>45</v>
      </c>
      <c r="D286" t="s">
        <v>77</v>
      </c>
      <c r="E286" t="s">
        <v>47</v>
      </c>
    </row>
    <row r="287" spans="1:5" x14ac:dyDescent="0.3">
      <c r="A287">
        <v>32240133</v>
      </c>
      <c r="B287" t="s">
        <v>402</v>
      </c>
      <c r="C287" t="s">
        <v>106</v>
      </c>
      <c r="D287" t="s">
        <v>66</v>
      </c>
      <c r="E287" t="s">
        <v>67</v>
      </c>
    </row>
    <row r="288" spans="1:5" x14ac:dyDescent="0.3">
      <c r="A288">
        <v>3362230</v>
      </c>
      <c r="B288" t="s">
        <v>403</v>
      </c>
      <c r="C288" t="s">
        <v>52</v>
      </c>
      <c r="D288" t="s">
        <v>46</v>
      </c>
      <c r="E288" t="s">
        <v>47</v>
      </c>
    </row>
    <row r="289" spans="1:5" x14ac:dyDescent="0.3">
      <c r="A289">
        <v>3424400</v>
      </c>
      <c r="B289" t="s">
        <v>404</v>
      </c>
      <c r="C289" t="s">
        <v>45</v>
      </c>
      <c r="D289" t="s">
        <v>97</v>
      </c>
      <c r="E289" t="s">
        <v>67</v>
      </c>
    </row>
    <row r="290" spans="1:5" x14ac:dyDescent="0.3">
      <c r="A290">
        <v>34884043</v>
      </c>
      <c r="B290" t="s">
        <v>405</v>
      </c>
      <c r="C290" t="s">
        <v>126</v>
      </c>
      <c r="D290" t="s">
        <v>46</v>
      </c>
      <c r="E290" t="s">
        <v>47</v>
      </c>
    </row>
    <row r="291" spans="1:5" x14ac:dyDescent="0.3">
      <c r="A291">
        <v>3506652</v>
      </c>
      <c r="B291" t="s">
        <v>406</v>
      </c>
      <c r="C291" t="s">
        <v>45</v>
      </c>
      <c r="D291" t="s">
        <v>97</v>
      </c>
      <c r="E291" t="s">
        <v>67</v>
      </c>
    </row>
    <row r="292" spans="1:5" x14ac:dyDescent="0.3">
      <c r="A292">
        <v>35114581</v>
      </c>
      <c r="B292" t="s">
        <v>407</v>
      </c>
      <c r="C292" t="s">
        <v>126</v>
      </c>
      <c r="D292" t="s">
        <v>22</v>
      </c>
      <c r="E292" t="s">
        <v>47</v>
      </c>
    </row>
    <row r="293" spans="1:5" x14ac:dyDescent="0.3">
      <c r="A293">
        <v>35545142</v>
      </c>
      <c r="B293" t="s">
        <v>408</v>
      </c>
      <c r="C293" t="s">
        <v>126</v>
      </c>
      <c r="D293" t="s">
        <v>46</v>
      </c>
      <c r="E293" t="s">
        <v>47</v>
      </c>
    </row>
    <row r="294" spans="1:5" x14ac:dyDescent="0.3">
      <c r="A294">
        <v>3663409</v>
      </c>
      <c r="B294" t="s">
        <v>409</v>
      </c>
      <c r="C294" t="s">
        <v>45</v>
      </c>
      <c r="D294" t="s">
        <v>85</v>
      </c>
      <c r="E294" t="s">
        <v>67</v>
      </c>
    </row>
    <row r="295" spans="1:5" x14ac:dyDescent="0.3">
      <c r="A295">
        <v>3663497</v>
      </c>
      <c r="B295" t="s">
        <v>410</v>
      </c>
      <c r="C295" t="s">
        <v>45</v>
      </c>
      <c r="D295" t="s">
        <v>85</v>
      </c>
      <c r="E295" t="s">
        <v>67</v>
      </c>
    </row>
    <row r="296" spans="1:5" x14ac:dyDescent="0.3">
      <c r="A296">
        <v>39269321</v>
      </c>
      <c r="B296" t="s">
        <v>411</v>
      </c>
      <c r="C296" t="s">
        <v>45</v>
      </c>
      <c r="D296" t="s">
        <v>66</v>
      </c>
      <c r="E296" t="s">
        <v>67</v>
      </c>
    </row>
    <row r="297" spans="1:5" x14ac:dyDescent="0.3">
      <c r="A297">
        <v>39279312</v>
      </c>
      <c r="B297" t="s">
        <v>412</v>
      </c>
      <c r="C297" t="s">
        <v>126</v>
      </c>
      <c r="D297" t="s">
        <v>71</v>
      </c>
      <c r="E297" t="s">
        <v>67</v>
      </c>
    </row>
    <row r="298" spans="1:5" x14ac:dyDescent="0.3">
      <c r="A298">
        <v>39301485</v>
      </c>
      <c r="B298" t="s">
        <v>413</v>
      </c>
      <c r="C298" t="s">
        <v>126</v>
      </c>
      <c r="D298" t="s">
        <v>50</v>
      </c>
      <c r="E298" t="s">
        <v>47</v>
      </c>
    </row>
    <row r="299" spans="1:5" x14ac:dyDescent="0.3">
      <c r="A299">
        <v>39316372</v>
      </c>
      <c r="B299" t="s">
        <v>414</v>
      </c>
      <c r="C299" t="s">
        <v>45</v>
      </c>
      <c r="D299" t="s">
        <v>131</v>
      </c>
      <c r="E299" t="s">
        <v>47</v>
      </c>
    </row>
    <row r="300" spans="1:5" x14ac:dyDescent="0.3">
      <c r="A300">
        <v>39316514</v>
      </c>
      <c r="B300" t="s">
        <v>415</v>
      </c>
      <c r="C300" t="s">
        <v>126</v>
      </c>
      <c r="D300" t="s">
        <v>50</v>
      </c>
      <c r="E300" t="s">
        <v>47</v>
      </c>
    </row>
    <row r="301" spans="1:5" x14ac:dyDescent="0.3">
      <c r="A301">
        <v>39317000</v>
      </c>
      <c r="B301" t="s">
        <v>416</v>
      </c>
      <c r="C301" t="s">
        <v>126</v>
      </c>
      <c r="D301" t="s">
        <v>50</v>
      </c>
      <c r="E301" t="s">
        <v>47</v>
      </c>
    </row>
    <row r="302" spans="1:5" x14ac:dyDescent="0.3">
      <c r="A302">
        <v>39318075</v>
      </c>
      <c r="B302" t="s">
        <v>417</v>
      </c>
      <c r="C302" t="s">
        <v>126</v>
      </c>
      <c r="D302" t="s">
        <v>50</v>
      </c>
      <c r="E302" t="s">
        <v>47</v>
      </c>
    </row>
    <row r="303" spans="1:5" x14ac:dyDescent="0.3">
      <c r="A303">
        <v>39413476</v>
      </c>
      <c r="B303" t="s">
        <v>418</v>
      </c>
      <c r="C303" t="s">
        <v>126</v>
      </c>
      <c r="D303" t="s">
        <v>46</v>
      </c>
      <c r="E303" t="s">
        <v>47</v>
      </c>
    </row>
    <row r="304" spans="1:5" x14ac:dyDescent="0.3">
      <c r="A304">
        <v>39416511</v>
      </c>
      <c r="B304" t="s">
        <v>419</v>
      </c>
      <c r="C304" t="s">
        <v>45</v>
      </c>
      <c r="D304" t="s">
        <v>46</v>
      </c>
      <c r="E304" t="s">
        <v>47</v>
      </c>
    </row>
    <row r="305" spans="1:5" x14ac:dyDescent="0.3">
      <c r="A305">
        <v>39417613</v>
      </c>
      <c r="B305" t="s">
        <v>420</v>
      </c>
      <c r="C305" t="s">
        <v>45</v>
      </c>
      <c r="D305" t="s">
        <v>46</v>
      </c>
      <c r="E305" t="s">
        <v>47</v>
      </c>
    </row>
    <row r="306" spans="1:5" x14ac:dyDescent="0.3">
      <c r="A306">
        <v>39417843</v>
      </c>
      <c r="B306" t="s">
        <v>421</v>
      </c>
      <c r="C306" t="s">
        <v>126</v>
      </c>
      <c r="D306" t="s">
        <v>46</v>
      </c>
      <c r="E306" t="s">
        <v>47</v>
      </c>
    </row>
    <row r="307" spans="1:5" x14ac:dyDescent="0.3">
      <c r="A307">
        <v>39420748</v>
      </c>
      <c r="B307" t="s">
        <v>422</v>
      </c>
      <c r="C307" t="s">
        <v>126</v>
      </c>
      <c r="D307" t="s">
        <v>46</v>
      </c>
      <c r="E307" t="s">
        <v>47</v>
      </c>
    </row>
    <row r="308" spans="1:5" x14ac:dyDescent="0.3">
      <c r="A308">
        <v>39422077</v>
      </c>
      <c r="B308" t="s">
        <v>423</v>
      </c>
      <c r="C308" t="s">
        <v>126</v>
      </c>
      <c r="D308" t="s">
        <v>46</v>
      </c>
      <c r="E308" t="s">
        <v>47</v>
      </c>
    </row>
    <row r="309" spans="1:5" x14ac:dyDescent="0.3">
      <c r="A309">
        <v>39424007</v>
      </c>
      <c r="B309" t="s">
        <v>424</v>
      </c>
      <c r="C309" t="s">
        <v>126</v>
      </c>
      <c r="D309" t="s">
        <v>46</v>
      </c>
      <c r="E309" t="s">
        <v>47</v>
      </c>
    </row>
    <row r="310" spans="1:5" x14ac:dyDescent="0.3">
      <c r="A310">
        <v>39425134</v>
      </c>
      <c r="B310" t="s">
        <v>425</v>
      </c>
      <c r="C310" t="s">
        <v>126</v>
      </c>
      <c r="D310" t="s">
        <v>46</v>
      </c>
      <c r="E310" t="s">
        <v>47</v>
      </c>
    </row>
    <row r="311" spans="1:5" x14ac:dyDescent="0.3">
      <c r="A311">
        <v>39425342</v>
      </c>
      <c r="B311" t="s">
        <v>426</v>
      </c>
      <c r="C311" t="s">
        <v>45</v>
      </c>
      <c r="D311" t="s">
        <v>46</v>
      </c>
      <c r="E311" t="s">
        <v>47</v>
      </c>
    </row>
    <row r="312" spans="1:5" x14ac:dyDescent="0.3">
      <c r="A312">
        <v>42655939</v>
      </c>
      <c r="B312" t="s">
        <v>427</v>
      </c>
      <c r="C312" t="s">
        <v>428</v>
      </c>
      <c r="D312" t="s">
        <v>88</v>
      </c>
      <c r="E312" t="s">
        <v>89</v>
      </c>
    </row>
    <row r="313" spans="1:5" x14ac:dyDescent="0.3">
      <c r="A313">
        <v>42657055</v>
      </c>
      <c r="B313" t="s">
        <v>429</v>
      </c>
      <c r="C313" t="s">
        <v>207</v>
      </c>
      <c r="D313" t="s">
        <v>22</v>
      </c>
      <c r="E313" t="s">
        <v>47</v>
      </c>
    </row>
    <row r="314" spans="1:5" x14ac:dyDescent="0.3">
      <c r="A314">
        <v>42658068</v>
      </c>
      <c r="B314" t="s">
        <v>430</v>
      </c>
      <c r="C314" t="s">
        <v>45</v>
      </c>
      <c r="D314" t="s">
        <v>22</v>
      </c>
      <c r="E314" t="s">
        <v>47</v>
      </c>
    </row>
    <row r="315" spans="1:5" x14ac:dyDescent="0.3">
      <c r="A315">
        <v>43777124</v>
      </c>
      <c r="B315" t="s">
        <v>431</v>
      </c>
      <c r="C315" t="s">
        <v>126</v>
      </c>
      <c r="D315" t="s">
        <v>255</v>
      </c>
      <c r="E315" t="s">
        <v>47</v>
      </c>
    </row>
    <row r="316" spans="1:5" x14ac:dyDescent="0.3">
      <c r="A316">
        <v>43823471</v>
      </c>
      <c r="B316" t="s">
        <v>432</v>
      </c>
      <c r="C316" t="s">
        <v>207</v>
      </c>
      <c r="D316" t="s">
        <v>193</v>
      </c>
      <c r="E316" t="s">
        <v>47</v>
      </c>
    </row>
    <row r="317" spans="1:5" x14ac:dyDescent="0.3">
      <c r="A317">
        <v>43889310</v>
      </c>
      <c r="B317" t="s">
        <v>433</v>
      </c>
      <c r="C317" t="s">
        <v>126</v>
      </c>
      <c r="D317" t="s">
        <v>74</v>
      </c>
      <c r="E317" t="s">
        <v>67</v>
      </c>
    </row>
    <row r="318" spans="1:5" x14ac:dyDescent="0.3">
      <c r="A318">
        <v>6687710</v>
      </c>
      <c r="B318" t="s">
        <v>434</v>
      </c>
      <c r="C318" t="s">
        <v>435</v>
      </c>
      <c r="D318" t="s">
        <v>58</v>
      </c>
      <c r="E318" t="s">
        <v>47</v>
      </c>
    </row>
    <row r="319" spans="1:5" x14ac:dyDescent="0.3">
      <c r="A319">
        <v>70220430</v>
      </c>
      <c r="B319" t="s">
        <v>436</v>
      </c>
      <c r="C319" t="s">
        <v>52</v>
      </c>
      <c r="D319" t="s">
        <v>46</v>
      </c>
      <c r="E319" t="s">
        <v>47</v>
      </c>
    </row>
    <row r="320" spans="1:5" x14ac:dyDescent="0.3">
      <c r="A320">
        <v>70525868</v>
      </c>
      <c r="B320" t="s">
        <v>437</v>
      </c>
      <c r="C320" t="s">
        <v>45</v>
      </c>
      <c r="D320" t="s">
        <v>46</v>
      </c>
      <c r="E320" t="s">
        <v>47</v>
      </c>
    </row>
    <row r="321" spans="1:5" x14ac:dyDescent="0.3">
      <c r="A321">
        <v>70526639</v>
      </c>
      <c r="B321" t="s">
        <v>438</v>
      </c>
      <c r="C321" t="s">
        <v>45</v>
      </c>
      <c r="D321" t="s">
        <v>46</v>
      </c>
      <c r="E321" t="s">
        <v>47</v>
      </c>
    </row>
    <row r="322" spans="1:5" x14ac:dyDescent="0.3">
      <c r="A322">
        <v>70526834</v>
      </c>
      <c r="B322" t="s">
        <v>439</v>
      </c>
      <c r="C322" t="s">
        <v>45</v>
      </c>
      <c r="D322" t="s">
        <v>22</v>
      </c>
      <c r="E322" t="s">
        <v>47</v>
      </c>
    </row>
    <row r="323" spans="1:5" x14ac:dyDescent="0.3">
      <c r="A323">
        <v>70527881</v>
      </c>
      <c r="B323" t="s">
        <v>440</v>
      </c>
      <c r="C323" t="s">
        <v>45</v>
      </c>
      <c r="D323" t="s">
        <v>22</v>
      </c>
      <c r="E323" t="s">
        <v>47</v>
      </c>
    </row>
    <row r="324" spans="1:5" x14ac:dyDescent="0.3">
      <c r="A324">
        <v>70529082</v>
      </c>
      <c r="B324" t="s">
        <v>441</v>
      </c>
      <c r="C324" t="s">
        <v>45</v>
      </c>
      <c r="D324" t="s">
        <v>22</v>
      </c>
      <c r="E324" t="s">
        <v>47</v>
      </c>
    </row>
    <row r="325" spans="1:5" x14ac:dyDescent="0.3">
      <c r="A325">
        <v>70529102</v>
      </c>
      <c r="B325" t="s">
        <v>442</v>
      </c>
      <c r="C325" t="s">
        <v>52</v>
      </c>
      <c r="D325" t="s">
        <v>22</v>
      </c>
      <c r="E325" t="s">
        <v>47</v>
      </c>
    </row>
    <row r="326" spans="1:5" x14ac:dyDescent="0.3">
      <c r="A326">
        <v>70529575</v>
      </c>
      <c r="B326" t="s">
        <v>443</v>
      </c>
      <c r="C326" t="s">
        <v>45</v>
      </c>
      <c r="D326" t="s">
        <v>193</v>
      </c>
      <c r="E326" t="s">
        <v>47</v>
      </c>
    </row>
    <row r="327" spans="1:5" x14ac:dyDescent="0.3">
      <c r="A327">
        <v>70529642</v>
      </c>
      <c r="B327" t="s">
        <v>444</v>
      </c>
      <c r="C327" t="s">
        <v>45</v>
      </c>
      <c r="D327" t="s">
        <v>22</v>
      </c>
      <c r="E327" t="s">
        <v>47</v>
      </c>
    </row>
    <row r="328" spans="1:5" x14ac:dyDescent="0.3">
      <c r="A328">
        <v>70530105</v>
      </c>
      <c r="B328" t="s">
        <v>445</v>
      </c>
      <c r="C328" t="s">
        <v>254</v>
      </c>
      <c r="D328" t="s">
        <v>77</v>
      </c>
      <c r="E328" t="s">
        <v>47</v>
      </c>
    </row>
    <row r="329" spans="1:5" x14ac:dyDescent="0.3">
      <c r="A329">
        <v>70531016</v>
      </c>
      <c r="B329" t="s">
        <v>446</v>
      </c>
      <c r="C329" t="s">
        <v>447</v>
      </c>
      <c r="D329" t="s">
        <v>88</v>
      </c>
      <c r="E329" t="s">
        <v>89</v>
      </c>
    </row>
    <row r="330" spans="1:5" x14ac:dyDescent="0.3">
      <c r="A330">
        <v>70541555</v>
      </c>
      <c r="B330" t="s">
        <v>448</v>
      </c>
      <c r="C330" t="s">
        <v>45</v>
      </c>
      <c r="D330" t="s">
        <v>97</v>
      </c>
      <c r="E330" t="s">
        <v>67</v>
      </c>
    </row>
    <row r="331" spans="1:5" x14ac:dyDescent="0.3">
      <c r="A331">
        <v>71087460</v>
      </c>
      <c r="B331" t="s">
        <v>449</v>
      </c>
      <c r="C331" t="s">
        <v>45</v>
      </c>
      <c r="D331" t="s">
        <v>97</v>
      </c>
      <c r="E331" t="s">
        <v>67</v>
      </c>
    </row>
    <row r="332" spans="1:5" x14ac:dyDescent="0.3">
      <c r="A332">
        <v>71240307</v>
      </c>
      <c r="B332" t="s">
        <v>450</v>
      </c>
      <c r="C332" t="s">
        <v>45</v>
      </c>
      <c r="D332" t="s">
        <v>50</v>
      </c>
      <c r="E332" t="s">
        <v>47</v>
      </c>
    </row>
    <row r="333" spans="1:5" x14ac:dyDescent="0.3">
      <c r="A333">
        <v>71240597</v>
      </c>
      <c r="B333" t="s">
        <v>451</v>
      </c>
      <c r="C333" t="s">
        <v>45</v>
      </c>
      <c r="D333" t="s">
        <v>50</v>
      </c>
      <c r="E333" t="s">
        <v>47</v>
      </c>
    </row>
    <row r="334" spans="1:5" x14ac:dyDescent="0.3">
      <c r="A334">
        <v>71240849</v>
      </c>
      <c r="B334" t="s">
        <v>452</v>
      </c>
      <c r="C334" t="s">
        <v>45</v>
      </c>
      <c r="D334" t="s">
        <v>46</v>
      </c>
      <c r="E334" t="s">
        <v>47</v>
      </c>
    </row>
    <row r="335" spans="1:5" x14ac:dyDescent="0.3">
      <c r="A335">
        <v>71241274</v>
      </c>
      <c r="B335" t="s">
        <v>453</v>
      </c>
      <c r="C335" t="s">
        <v>45</v>
      </c>
      <c r="D335" t="s">
        <v>46</v>
      </c>
      <c r="E335" t="s">
        <v>47</v>
      </c>
    </row>
    <row r="336" spans="1:5" x14ac:dyDescent="0.3">
      <c r="A336">
        <v>71241717</v>
      </c>
      <c r="B336" t="s">
        <v>454</v>
      </c>
      <c r="C336" t="s">
        <v>45</v>
      </c>
      <c r="D336" t="s">
        <v>46</v>
      </c>
      <c r="E336" t="s">
        <v>47</v>
      </c>
    </row>
    <row r="337" spans="1:5" x14ac:dyDescent="0.3">
      <c r="A337">
        <v>71241771</v>
      </c>
      <c r="B337" t="s">
        <v>455</v>
      </c>
      <c r="C337" t="s">
        <v>456</v>
      </c>
      <c r="D337" t="s">
        <v>58</v>
      </c>
      <c r="E337" t="s">
        <v>47</v>
      </c>
    </row>
    <row r="338" spans="1:5" x14ac:dyDescent="0.3">
      <c r="A338">
        <v>71255686</v>
      </c>
      <c r="B338" t="s">
        <v>457</v>
      </c>
      <c r="C338" t="s">
        <v>57</v>
      </c>
      <c r="D338" t="s">
        <v>58</v>
      </c>
      <c r="E338" t="s">
        <v>47</v>
      </c>
    </row>
    <row r="339" spans="1:5" x14ac:dyDescent="0.3">
      <c r="A339">
        <v>71256014</v>
      </c>
      <c r="B339" t="s">
        <v>458</v>
      </c>
      <c r="C339" t="s">
        <v>52</v>
      </c>
      <c r="D339" t="s">
        <v>46</v>
      </c>
      <c r="E339" t="s">
        <v>47</v>
      </c>
    </row>
    <row r="340" spans="1:5" x14ac:dyDescent="0.3">
      <c r="A340">
        <v>71258253</v>
      </c>
      <c r="B340" t="s">
        <v>459</v>
      </c>
      <c r="C340" t="s">
        <v>45</v>
      </c>
      <c r="D340" t="s">
        <v>46</v>
      </c>
      <c r="E340" t="s">
        <v>47</v>
      </c>
    </row>
    <row r="341" spans="1:5" x14ac:dyDescent="0.3">
      <c r="A341">
        <v>71350910</v>
      </c>
      <c r="B341" t="s">
        <v>460</v>
      </c>
      <c r="C341" t="s">
        <v>45</v>
      </c>
      <c r="D341" t="s">
        <v>77</v>
      </c>
      <c r="E341" t="s">
        <v>47</v>
      </c>
    </row>
    <row r="342" spans="1:5" x14ac:dyDescent="0.3">
      <c r="A342">
        <v>71353532</v>
      </c>
      <c r="B342" t="s">
        <v>461</v>
      </c>
      <c r="C342" t="s">
        <v>45</v>
      </c>
      <c r="D342" t="s">
        <v>66</v>
      </c>
      <c r="E342" t="s">
        <v>67</v>
      </c>
    </row>
    <row r="343" spans="1:5" x14ac:dyDescent="0.3">
      <c r="A343">
        <v>71697086</v>
      </c>
      <c r="B343" t="s">
        <v>462</v>
      </c>
      <c r="C343" t="s">
        <v>52</v>
      </c>
      <c r="D343" t="s">
        <v>66</v>
      </c>
      <c r="E343" t="s">
        <v>67</v>
      </c>
    </row>
    <row r="344" spans="1:5" x14ac:dyDescent="0.3">
      <c r="A344">
        <v>71799814</v>
      </c>
      <c r="B344" t="s">
        <v>463</v>
      </c>
      <c r="C344" t="s">
        <v>138</v>
      </c>
      <c r="D344" t="s">
        <v>66</v>
      </c>
      <c r="E344" t="s">
        <v>67</v>
      </c>
    </row>
    <row r="345" spans="1:5" x14ac:dyDescent="0.3">
      <c r="A345">
        <v>71943404</v>
      </c>
      <c r="B345" t="s">
        <v>464</v>
      </c>
      <c r="C345" t="s">
        <v>52</v>
      </c>
      <c r="D345" t="s">
        <v>46</v>
      </c>
      <c r="E345" t="s">
        <v>47</v>
      </c>
    </row>
    <row r="346" spans="1:5" x14ac:dyDescent="0.3">
      <c r="A346">
        <v>71946681</v>
      </c>
      <c r="B346" t="s">
        <v>465</v>
      </c>
      <c r="C346" t="s">
        <v>55</v>
      </c>
      <c r="D346" t="s">
        <v>466</v>
      </c>
      <c r="E346" t="s">
        <v>47</v>
      </c>
    </row>
    <row r="347" spans="1:5" x14ac:dyDescent="0.3">
      <c r="A347">
        <v>71947617</v>
      </c>
      <c r="B347" t="s">
        <v>467</v>
      </c>
      <c r="C347" t="s">
        <v>45</v>
      </c>
      <c r="D347" t="s">
        <v>46</v>
      </c>
      <c r="E347" t="s">
        <v>47</v>
      </c>
    </row>
    <row r="348" spans="1:5" x14ac:dyDescent="0.3">
      <c r="A348">
        <v>71976132</v>
      </c>
      <c r="B348" t="s">
        <v>468</v>
      </c>
      <c r="C348" t="s">
        <v>57</v>
      </c>
      <c r="D348" t="s">
        <v>58</v>
      </c>
      <c r="E348" t="s">
        <v>47</v>
      </c>
    </row>
    <row r="349" spans="1:5" x14ac:dyDescent="0.3">
      <c r="A349">
        <v>71976616</v>
      </c>
      <c r="B349" t="s">
        <v>469</v>
      </c>
      <c r="C349" t="s">
        <v>45</v>
      </c>
      <c r="D349" t="s">
        <v>50</v>
      </c>
      <c r="E349" t="s">
        <v>47</v>
      </c>
    </row>
    <row r="350" spans="1:5" x14ac:dyDescent="0.3">
      <c r="A350">
        <v>71980103</v>
      </c>
      <c r="B350" t="s">
        <v>470</v>
      </c>
      <c r="C350" t="s">
        <v>45</v>
      </c>
      <c r="D350" t="s">
        <v>50</v>
      </c>
      <c r="E350" t="s">
        <v>47</v>
      </c>
    </row>
    <row r="351" spans="1:5" x14ac:dyDescent="0.3">
      <c r="A351">
        <v>71982173</v>
      </c>
      <c r="B351" t="s">
        <v>471</v>
      </c>
      <c r="C351" t="s">
        <v>55</v>
      </c>
      <c r="D351" t="s">
        <v>58</v>
      </c>
      <c r="E351" t="s">
        <v>47</v>
      </c>
    </row>
    <row r="352" spans="1:5" x14ac:dyDescent="0.3">
      <c r="A352">
        <v>71983131</v>
      </c>
      <c r="B352" t="s">
        <v>472</v>
      </c>
      <c r="C352" t="s">
        <v>45</v>
      </c>
      <c r="D352" t="s">
        <v>50</v>
      </c>
      <c r="E352" t="s">
        <v>47</v>
      </c>
    </row>
    <row r="353" spans="1:5" x14ac:dyDescent="0.3">
      <c r="A353">
        <v>71987297</v>
      </c>
      <c r="B353" t="s">
        <v>473</v>
      </c>
      <c r="C353" t="s">
        <v>45</v>
      </c>
      <c r="D353" t="s">
        <v>50</v>
      </c>
      <c r="E353" t="s">
        <v>47</v>
      </c>
    </row>
    <row r="354" spans="1:5" x14ac:dyDescent="0.3">
      <c r="A354">
        <v>71987542</v>
      </c>
      <c r="B354" t="s">
        <v>474</v>
      </c>
      <c r="C354" t="s">
        <v>57</v>
      </c>
      <c r="D354" t="s">
        <v>58</v>
      </c>
      <c r="E354" t="s">
        <v>47</v>
      </c>
    </row>
    <row r="355" spans="1:5" x14ac:dyDescent="0.3">
      <c r="A355">
        <v>71988274</v>
      </c>
      <c r="B355" t="s">
        <v>475</v>
      </c>
      <c r="C355" t="s">
        <v>45</v>
      </c>
      <c r="D355" t="s">
        <v>50</v>
      </c>
      <c r="E355" t="s">
        <v>47</v>
      </c>
    </row>
    <row r="356" spans="1:5" x14ac:dyDescent="0.3">
      <c r="A356">
        <v>71989576</v>
      </c>
      <c r="B356" t="s">
        <v>476</v>
      </c>
      <c r="C356" t="s">
        <v>45</v>
      </c>
      <c r="D356" t="s">
        <v>50</v>
      </c>
      <c r="E356" t="s">
        <v>47</v>
      </c>
    </row>
    <row r="357" spans="1:5" x14ac:dyDescent="0.3">
      <c r="A357">
        <v>73079841</v>
      </c>
      <c r="B357" t="s">
        <v>477</v>
      </c>
      <c r="C357" t="s">
        <v>52</v>
      </c>
      <c r="D357" t="s">
        <v>46</v>
      </c>
      <c r="E357" t="s">
        <v>47</v>
      </c>
    </row>
    <row r="358" spans="1:5" x14ac:dyDescent="0.3">
      <c r="A358">
        <v>73195683</v>
      </c>
      <c r="B358" t="s">
        <v>478</v>
      </c>
      <c r="C358" t="s">
        <v>45</v>
      </c>
      <c r="D358" t="s">
        <v>66</v>
      </c>
      <c r="E358" t="s">
        <v>67</v>
      </c>
    </row>
    <row r="359" spans="1:5" x14ac:dyDescent="0.3">
      <c r="A359">
        <v>78023556</v>
      </c>
      <c r="B359" t="s">
        <v>479</v>
      </c>
      <c r="C359" t="s">
        <v>45</v>
      </c>
      <c r="D359" t="s">
        <v>66</v>
      </c>
      <c r="E359" t="s">
        <v>67</v>
      </c>
    </row>
    <row r="360" spans="1:5" x14ac:dyDescent="0.3">
      <c r="A360">
        <v>78382170</v>
      </c>
      <c r="B360" t="s">
        <v>480</v>
      </c>
      <c r="C360" t="s">
        <v>45</v>
      </c>
      <c r="D360" t="s">
        <v>66</v>
      </c>
      <c r="E360" t="s">
        <v>67</v>
      </c>
    </row>
    <row r="361" spans="1:5" x14ac:dyDescent="0.3">
      <c r="A361">
        <v>78382313</v>
      </c>
      <c r="B361" t="s">
        <v>481</v>
      </c>
      <c r="C361" t="s">
        <v>45</v>
      </c>
      <c r="D361" t="s">
        <v>71</v>
      </c>
      <c r="E361" t="s">
        <v>67</v>
      </c>
    </row>
    <row r="362" spans="1:5" x14ac:dyDescent="0.3">
      <c r="A362">
        <v>78587256</v>
      </c>
      <c r="B362" t="s">
        <v>482</v>
      </c>
      <c r="C362" t="s">
        <v>45</v>
      </c>
      <c r="D362" t="s">
        <v>46</v>
      </c>
      <c r="E362" t="s">
        <v>47</v>
      </c>
    </row>
    <row r="363" spans="1:5" x14ac:dyDescent="0.3">
      <c r="A363">
        <v>78699356</v>
      </c>
      <c r="B363" t="s">
        <v>483</v>
      </c>
      <c r="C363" t="s">
        <v>274</v>
      </c>
      <c r="D363" t="s">
        <v>58</v>
      </c>
      <c r="E363" t="s">
        <v>47</v>
      </c>
    </row>
    <row r="364" spans="1:5" x14ac:dyDescent="0.3">
      <c r="A364">
        <v>78709083</v>
      </c>
      <c r="B364" t="s">
        <v>484</v>
      </c>
      <c r="C364" t="s">
        <v>485</v>
      </c>
      <c r="D364" t="s">
        <v>46</v>
      </c>
      <c r="E364" t="s">
        <v>47</v>
      </c>
    </row>
    <row r="365" spans="1:5" x14ac:dyDescent="0.3">
      <c r="A365">
        <v>78752718</v>
      </c>
      <c r="B365" t="s">
        <v>486</v>
      </c>
      <c r="C365" t="s">
        <v>45</v>
      </c>
      <c r="D365" t="s">
        <v>466</v>
      </c>
      <c r="E365" t="s">
        <v>47</v>
      </c>
    </row>
    <row r="366" spans="1:5" x14ac:dyDescent="0.3">
      <c r="A366">
        <v>8037103</v>
      </c>
      <c r="B366" t="s">
        <v>487</v>
      </c>
      <c r="C366" t="s">
        <v>45</v>
      </c>
      <c r="D366" t="s">
        <v>97</v>
      </c>
      <c r="E366" t="s">
        <v>67</v>
      </c>
    </row>
    <row r="367" spans="1:5" x14ac:dyDescent="0.3">
      <c r="A367">
        <v>8039326</v>
      </c>
      <c r="B367" t="s">
        <v>488</v>
      </c>
      <c r="C367" t="s">
        <v>45</v>
      </c>
      <c r="D367" t="s">
        <v>97</v>
      </c>
      <c r="E367" t="s">
        <v>67</v>
      </c>
    </row>
    <row r="368" spans="1:5" x14ac:dyDescent="0.3">
      <c r="A368">
        <v>8048422</v>
      </c>
      <c r="B368" t="s">
        <v>489</v>
      </c>
      <c r="C368" t="s">
        <v>52</v>
      </c>
      <c r="D368" t="s">
        <v>66</v>
      </c>
      <c r="E368" t="s">
        <v>67</v>
      </c>
    </row>
    <row r="369" spans="1:9" x14ac:dyDescent="0.3">
      <c r="A369">
        <v>8052325</v>
      </c>
      <c r="B369" t="s">
        <v>490</v>
      </c>
      <c r="C369" t="s">
        <v>45</v>
      </c>
      <c r="D369" t="s">
        <v>74</v>
      </c>
      <c r="E369" t="s">
        <v>67</v>
      </c>
    </row>
    <row r="370" spans="1:9" x14ac:dyDescent="0.3">
      <c r="A370">
        <v>8055765</v>
      </c>
      <c r="B370" t="s">
        <v>491</v>
      </c>
      <c r="C370" t="s">
        <v>52</v>
      </c>
      <c r="D370" t="s">
        <v>85</v>
      </c>
      <c r="E370" t="s">
        <v>67</v>
      </c>
    </row>
    <row r="371" spans="1:9" x14ac:dyDescent="0.3">
      <c r="A371">
        <v>8056097</v>
      </c>
      <c r="B371" t="s">
        <v>492</v>
      </c>
      <c r="C371" t="s">
        <v>45</v>
      </c>
      <c r="D371" t="s">
        <v>66</v>
      </c>
      <c r="E371" t="s">
        <v>67</v>
      </c>
    </row>
    <row r="372" spans="1:9" x14ac:dyDescent="0.3">
      <c r="A372">
        <v>8056166</v>
      </c>
      <c r="B372" t="s">
        <v>493</v>
      </c>
      <c r="C372" t="s">
        <v>52</v>
      </c>
      <c r="D372" t="s">
        <v>66</v>
      </c>
      <c r="E372" t="s">
        <v>67</v>
      </c>
    </row>
    <row r="373" spans="1:9" x14ac:dyDescent="0.3">
      <c r="A373">
        <v>8057618</v>
      </c>
      <c r="B373" t="s">
        <v>494</v>
      </c>
      <c r="C373" t="s">
        <v>52</v>
      </c>
      <c r="D373" t="s">
        <v>66</v>
      </c>
      <c r="E373" t="s">
        <v>67</v>
      </c>
    </row>
    <row r="374" spans="1:9" x14ac:dyDescent="0.3">
      <c r="A374">
        <v>8058343</v>
      </c>
      <c r="B374" t="s">
        <v>495</v>
      </c>
      <c r="C374" t="s">
        <v>52</v>
      </c>
      <c r="D374" t="s">
        <v>66</v>
      </c>
      <c r="E374" t="s">
        <v>67</v>
      </c>
    </row>
    <row r="375" spans="1:9" x14ac:dyDescent="0.3">
      <c r="A375">
        <v>8112826</v>
      </c>
      <c r="B375" t="s">
        <v>496</v>
      </c>
      <c r="C375" t="s">
        <v>45</v>
      </c>
      <c r="D375" t="s">
        <v>255</v>
      </c>
      <c r="E375" t="s">
        <v>47</v>
      </c>
    </row>
    <row r="376" spans="1:9" x14ac:dyDescent="0.3">
      <c r="A376">
        <v>8113043</v>
      </c>
      <c r="B376" t="s">
        <v>497</v>
      </c>
      <c r="C376" t="s">
        <v>45</v>
      </c>
      <c r="D376" t="s">
        <v>255</v>
      </c>
      <c r="E376" t="s">
        <v>47</v>
      </c>
      <c r="I376" s="50"/>
    </row>
    <row r="377" spans="1:9" x14ac:dyDescent="0.3">
      <c r="A377">
        <v>8166801</v>
      </c>
      <c r="B377" t="s">
        <v>498</v>
      </c>
      <c r="C377" t="s">
        <v>45</v>
      </c>
      <c r="D377" t="s">
        <v>251</v>
      </c>
      <c r="E377" t="s">
        <v>47</v>
      </c>
    </row>
    <row r="378" spans="1:9" x14ac:dyDescent="0.3">
      <c r="A378">
        <v>8167514</v>
      </c>
      <c r="B378" t="s">
        <v>499</v>
      </c>
      <c r="C378" t="s">
        <v>45</v>
      </c>
      <c r="D378" t="s">
        <v>77</v>
      </c>
      <c r="E378" t="s">
        <v>47</v>
      </c>
    </row>
    <row r="379" spans="1:9" x14ac:dyDescent="0.3">
      <c r="A379">
        <v>8167960</v>
      </c>
      <c r="B379" t="s">
        <v>500</v>
      </c>
      <c r="C379" t="s">
        <v>45</v>
      </c>
      <c r="D379" t="s">
        <v>77</v>
      </c>
      <c r="E379" t="s">
        <v>47</v>
      </c>
    </row>
    <row r="380" spans="1:9" x14ac:dyDescent="0.3">
      <c r="A380">
        <v>8168186</v>
      </c>
      <c r="B380" t="s">
        <v>501</v>
      </c>
      <c r="C380" t="s">
        <v>45</v>
      </c>
      <c r="D380" t="s">
        <v>77</v>
      </c>
      <c r="E380" t="s">
        <v>47</v>
      </c>
    </row>
    <row r="381" spans="1:9" x14ac:dyDescent="0.3">
      <c r="A381">
        <v>8173813</v>
      </c>
      <c r="B381" t="s">
        <v>502</v>
      </c>
      <c r="C381" t="s">
        <v>177</v>
      </c>
      <c r="D381" t="s">
        <v>503</v>
      </c>
      <c r="E381" t="s">
        <v>47</v>
      </c>
    </row>
    <row r="382" spans="1:9" x14ac:dyDescent="0.3">
      <c r="A382">
        <v>8188010</v>
      </c>
      <c r="B382" t="s">
        <v>504</v>
      </c>
      <c r="C382" t="s">
        <v>45</v>
      </c>
      <c r="D382" t="s">
        <v>46</v>
      </c>
      <c r="E382" t="s">
        <v>47</v>
      </c>
    </row>
    <row r="383" spans="1:9" x14ac:dyDescent="0.3">
      <c r="A383">
        <v>8188348</v>
      </c>
      <c r="B383" t="s">
        <v>505</v>
      </c>
      <c r="C383" t="s">
        <v>45</v>
      </c>
      <c r="D383" t="s">
        <v>46</v>
      </c>
      <c r="E383" t="s">
        <v>47</v>
      </c>
    </row>
    <row r="384" spans="1:9" x14ac:dyDescent="0.3">
      <c r="A384">
        <v>8205413</v>
      </c>
      <c r="B384" t="s">
        <v>506</v>
      </c>
      <c r="C384" t="s">
        <v>52</v>
      </c>
      <c r="D384" t="s">
        <v>46</v>
      </c>
      <c r="E384" t="s">
        <v>47</v>
      </c>
    </row>
    <row r="385" spans="1:5" x14ac:dyDescent="0.3">
      <c r="A385">
        <v>82100128</v>
      </c>
      <c r="B385" t="s">
        <v>507</v>
      </c>
      <c r="C385" t="s">
        <v>55</v>
      </c>
      <c r="D385" t="s">
        <v>58</v>
      </c>
      <c r="E385" t="s">
        <v>47</v>
      </c>
    </row>
    <row r="386" spans="1:5" x14ac:dyDescent="0.3">
      <c r="A386">
        <v>8323538</v>
      </c>
      <c r="B386" t="s">
        <v>508</v>
      </c>
      <c r="C386" t="s">
        <v>167</v>
      </c>
      <c r="D386" t="s">
        <v>46</v>
      </c>
      <c r="E386" t="s">
        <v>47</v>
      </c>
    </row>
    <row r="387" spans="1:5" x14ac:dyDescent="0.3">
      <c r="A387">
        <v>8324706</v>
      </c>
      <c r="B387" t="s">
        <v>509</v>
      </c>
      <c r="C387" t="s">
        <v>45</v>
      </c>
      <c r="D387" t="s">
        <v>46</v>
      </c>
      <c r="E387" t="s">
        <v>47</v>
      </c>
    </row>
    <row r="388" spans="1:5" x14ac:dyDescent="0.3">
      <c r="A388">
        <v>8373122</v>
      </c>
      <c r="B388" t="s">
        <v>510</v>
      </c>
      <c r="C388" t="s">
        <v>45</v>
      </c>
      <c r="D388" t="s">
        <v>74</v>
      </c>
      <c r="E388" t="s">
        <v>67</v>
      </c>
    </row>
    <row r="389" spans="1:5" x14ac:dyDescent="0.3">
      <c r="A389">
        <v>8414486</v>
      </c>
      <c r="B389" t="s">
        <v>511</v>
      </c>
      <c r="C389" t="s">
        <v>512</v>
      </c>
      <c r="D389" t="s">
        <v>466</v>
      </c>
      <c r="E389" t="s">
        <v>47</v>
      </c>
    </row>
    <row r="390" spans="1:5" x14ac:dyDescent="0.3">
      <c r="A390">
        <v>8415935</v>
      </c>
      <c r="B390" t="s">
        <v>513</v>
      </c>
      <c r="C390" t="s">
        <v>45</v>
      </c>
      <c r="D390" t="s">
        <v>46</v>
      </c>
      <c r="E390" t="s">
        <v>47</v>
      </c>
    </row>
    <row r="391" spans="1:5" x14ac:dyDescent="0.3">
      <c r="A391">
        <v>8439223</v>
      </c>
      <c r="B391" t="s">
        <v>514</v>
      </c>
      <c r="C391" t="s">
        <v>57</v>
      </c>
      <c r="D391" t="s">
        <v>58</v>
      </c>
      <c r="E391" t="s">
        <v>47</v>
      </c>
    </row>
    <row r="392" spans="1:5" x14ac:dyDescent="0.3">
      <c r="A392">
        <v>92523780</v>
      </c>
      <c r="B392" t="s">
        <v>515</v>
      </c>
      <c r="C392" t="s">
        <v>45</v>
      </c>
      <c r="D392" t="s">
        <v>251</v>
      </c>
      <c r="E392" t="s">
        <v>47</v>
      </c>
    </row>
    <row r="393" spans="1:5" x14ac:dyDescent="0.3">
      <c r="A393">
        <v>92534464</v>
      </c>
      <c r="B393" t="s">
        <v>516</v>
      </c>
      <c r="C393" t="s">
        <v>45</v>
      </c>
      <c r="D393" t="s">
        <v>66</v>
      </c>
      <c r="E393" t="s">
        <v>67</v>
      </c>
    </row>
    <row r="394" spans="1:5" x14ac:dyDescent="0.3">
      <c r="A394">
        <v>98481712</v>
      </c>
      <c r="B394" t="s">
        <v>517</v>
      </c>
      <c r="C394" t="s">
        <v>45</v>
      </c>
      <c r="D394" t="s">
        <v>255</v>
      </c>
      <c r="E394" t="s">
        <v>47</v>
      </c>
    </row>
    <row r="395" spans="1:5" x14ac:dyDescent="0.3">
      <c r="A395">
        <v>98598136</v>
      </c>
      <c r="B395" t="s">
        <v>518</v>
      </c>
      <c r="C395" t="s">
        <v>45</v>
      </c>
      <c r="D395" t="s">
        <v>251</v>
      </c>
      <c r="E395" t="s">
        <v>47</v>
      </c>
    </row>
    <row r="396" spans="1:5" x14ac:dyDescent="0.3">
      <c r="A396">
        <v>98600029</v>
      </c>
      <c r="B396" t="s">
        <v>519</v>
      </c>
      <c r="C396" t="s">
        <v>52</v>
      </c>
      <c r="D396" t="s">
        <v>50</v>
      </c>
      <c r="E396" t="s">
        <v>47</v>
      </c>
    </row>
    <row r="397" spans="1:5" x14ac:dyDescent="0.3">
      <c r="A397">
        <v>98613223</v>
      </c>
      <c r="B397" t="s">
        <v>520</v>
      </c>
      <c r="C397" t="s">
        <v>77</v>
      </c>
      <c r="D397" t="s">
        <v>77</v>
      </c>
      <c r="E397" t="s">
        <v>47</v>
      </c>
    </row>
    <row r="398" spans="1:5" x14ac:dyDescent="0.3">
      <c r="A398">
        <v>98614587</v>
      </c>
      <c r="B398" t="s">
        <v>521</v>
      </c>
      <c r="C398" t="s">
        <v>45</v>
      </c>
      <c r="D398" t="s">
        <v>66</v>
      </c>
      <c r="E398" t="s">
        <v>67</v>
      </c>
    </row>
    <row r="399" spans="1:5" x14ac:dyDescent="0.3">
      <c r="A399">
        <v>98655190</v>
      </c>
      <c r="B399" t="s">
        <v>522</v>
      </c>
      <c r="C399" t="s">
        <v>45</v>
      </c>
      <c r="D399" t="s">
        <v>66</v>
      </c>
      <c r="E399" t="s">
        <v>67</v>
      </c>
    </row>
    <row r="400" spans="1:5" x14ac:dyDescent="0.3">
      <c r="A400">
        <v>98657163</v>
      </c>
      <c r="B400" t="s">
        <v>523</v>
      </c>
      <c r="C400" t="s">
        <v>45</v>
      </c>
      <c r="D400" t="s">
        <v>66</v>
      </c>
      <c r="E400" t="s">
        <v>67</v>
      </c>
    </row>
    <row r="401" spans="1:5" x14ac:dyDescent="0.3">
      <c r="A401">
        <v>98674552</v>
      </c>
      <c r="B401" t="s">
        <v>524</v>
      </c>
      <c r="C401" t="s">
        <v>45</v>
      </c>
      <c r="D401" t="s">
        <v>71</v>
      </c>
      <c r="E401" t="s">
        <v>67</v>
      </c>
    </row>
    <row r="402" spans="1:5" x14ac:dyDescent="0.3">
      <c r="A402">
        <v>98687055</v>
      </c>
      <c r="B402" t="s">
        <v>525</v>
      </c>
      <c r="C402" t="s">
        <v>45</v>
      </c>
      <c r="D402" t="s">
        <v>193</v>
      </c>
      <c r="E402" t="s">
        <v>47</v>
      </c>
    </row>
    <row r="403" spans="1:5" x14ac:dyDescent="0.3">
      <c r="A403">
        <v>98687368</v>
      </c>
      <c r="B403" t="s">
        <v>526</v>
      </c>
      <c r="C403" t="s">
        <v>52</v>
      </c>
      <c r="D403" t="s">
        <v>193</v>
      </c>
      <c r="E403" t="s">
        <v>47</v>
      </c>
    </row>
    <row r="404" spans="1:5" x14ac:dyDescent="0.3">
      <c r="A404">
        <v>98687894</v>
      </c>
      <c r="B404" t="s">
        <v>527</v>
      </c>
      <c r="C404" t="s">
        <v>45</v>
      </c>
      <c r="D404" t="s">
        <v>193</v>
      </c>
      <c r="E404" t="s">
        <v>47</v>
      </c>
    </row>
    <row r="405" spans="1:5" x14ac:dyDescent="0.3">
      <c r="A405">
        <v>1028005999</v>
      </c>
      <c r="B405" t="s">
        <v>529</v>
      </c>
      <c r="C405" t="s">
        <v>45</v>
      </c>
      <c r="D405" t="s">
        <v>46</v>
      </c>
      <c r="E405" t="s">
        <v>47</v>
      </c>
    </row>
    <row r="406" spans="1:5" x14ac:dyDescent="0.3">
      <c r="A406">
        <v>1146438858</v>
      </c>
      <c r="B406" t="s">
        <v>530</v>
      </c>
      <c r="C406" t="s">
        <v>45</v>
      </c>
      <c r="D406" t="s">
        <v>46</v>
      </c>
      <c r="E406" t="s">
        <v>47</v>
      </c>
    </row>
    <row r="407" spans="1:5" x14ac:dyDescent="0.3">
      <c r="A407">
        <v>1028000965</v>
      </c>
      <c r="B407" t="s">
        <v>531</v>
      </c>
      <c r="C407" t="s">
        <v>45</v>
      </c>
      <c r="D407" t="s">
        <v>46</v>
      </c>
      <c r="E407" t="s">
        <v>47</v>
      </c>
    </row>
    <row r="408" spans="1:5" x14ac:dyDescent="0.3">
      <c r="A408">
        <v>1028030163</v>
      </c>
      <c r="B408" t="s">
        <v>532</v>
      </c>
      <c r="C408" t="s">
        <v>45</v>
      </c>
      <c r="D408" t="s">
        <v>46</v>
      </c>
      <c r="E408" t="s">
        <v>47</v>
      </c>
    </row>
    <row r="409" spans="1:5" x14ac:dyDescent="0.3">
      <c r="A409">
        <v>1028022805</v>
      </c>
      <c r="B409" t="s">
        <v>533</v>
      </c>
      <c r="C409" t="s">
        <v>45</v>
      </c>
      <c r="D409" t="s">
        <v>46</v>
      </c>
      <c r="E409" t="s">
        <v>47</v>
      </c>
    </row>
    <row r="410" spans="1:5" x14ac:dyDescent="0.3">
      <c r="A410">
        <v>1040760689</v>
      </c>
      <c r="B410" t="s">
        <v>534</v>
      </c>
      <c r="C410" t="s">
        <v>45</v>
      </c>
      <c r="D410" t="s">
        <v>255</v>
      </c>
      <c r="E410" t="s">
        <v>47</v>
      </c>
    </row>
    <row r="411" spans="1:5" x14ac:dyDescent="0.3">
      <c r="A411">
        <v>1038115669</v>
      </c>
      <c r="B411" t="s">
        <v>218</v>
      </c>
      <c r="C411" t="s">
        <v>45</v>
      </c>
      <c r="D411" t="s">
        <v>66</v>
      </c>
      <c r="E411" t="s">
        <v>67</v>
      </c>
    </row>
    <row r="412" spans="1:5" x14ac:dyDescent="0.3">
      <c r="A412">
        <v>1001548590</v>
      </c>
      <c r="B412" t="s">
        <v>535</v>
      </c>
      <c r="C412" t="s">
        <v>45</v>
      </c>
      <c r="D412" t="s">
        <v>74</v>
      </c>
      <c r="E412" t="s">
        <v>67</v>
      </c>
    </row>
    <row r="413" spans="1:5" x14ac:dyDescent="0.3">
      <c r="A413">
        <v>1007494464</v>
      </c>
      <c r="B413" t="s">
        <v>536</v>
      </c>
      <c r="C413" t="s">
        <v>537</v>
      </c>
      <c r="D413" t="s">
        <v>85</v>
      </c>
      <c r="E413" t="s">
        <v>67</v>
      </c>
    </row>
    <row r="414" spans="1:5" x14ac:dyDescent="0.3">
      <c r="A414">
        <v>1001779189</v>
      </c>
      <c r="B414" t="s">
        <v>538</v>
      </c>
      <c r="C414" t="s">
        <v>52</v>
      </c>
      <c r="D414" t="s">
        <v>46</v>
      </c>
      <c r="E414" t="s">
        <v>47</v>
      </c>
    </row>
    <row r="415" spans="1:5" x14ac:dyDescent="0.3">
      <c r="A415">
        <v>1038122519</v>
      </c>
      <c r="B415" t="s">
        <v>539</v>
      </c>
      <c r="C415" t="s">
        <v>45</v>
      </c>
      <c r="D415" t="s">
        <v>66</v>
      </c>
      <c r="E415" t="s">
        <v>67</v>
      </c>
    </row>
    <row r="416" spans="1:5" x14ac:dyDescent="0.3">
      <c r="A416">
        <v>1007444844</v>
      </c>
      <c r="B416" t="s">
        <v>540</v>
      </c>
      <c r="C416" t="s">
        <v>537</v>
      </c>
      <c r="D416" t="s">
        <v>66</v>
      </c>
      <c r="E416" t="s">
        <v>67</v>
      </c>
    </row>
    <row r="417" spans="1:5" x14ac:dyDescent="0.3">
      <c r="A417">
        <v>1038818162</v>
      </c>
      <c r="B417" t="s">
        <v>541</v>
      </c>
      <c r="C417" t="s">
        <v>45</v>
      </c>
      <c r="D417" t="s">
        <v>46</v>
      </c>
      <c r="E417" t="s">
        <v>47</v>
      </c>
    </row>
    <row r="418" spans="1:5" x14ac:dyDescent="0.3">
      <c r="A418">
        <v>2000001040</v>
      </c>
      <c r="B418" t="s">
        <v>542</v>
      </c>
      <c r="C418" t="s">
        <v>45</v>
      </c>
      <c r="D418" t="s">
        <v>46</v>
      </c>
      <c r="E418" t="s">
        <v>47</v>
      </c>
    </row>
    <row r="419" spans="1:5" x14ac:dyDescent="0.3">
      <c r="A419">
        <v>1028038308</v>
      </c>
      <c r="B419" t="s">
        <v>543</v>
      </c>
      <c r="C419" t="s">
        <v>45</v>
      </c>
      <c r="D419" t="s">
        <v>46</v>
      </c>
      <c r="E419" t="s">
        <v>47</v>
      </c>
    </row>
    <row r="420" spans="1:5" x14ac:dyDescent="0.3">
      <c r="A420">
        <v>1040352705</v>
      </c>
      <c r="B420" t="s">
        <v>544</v>
      </c>
      <c r="C420" t="s">
        <v>52</v>
      </c>
      <c r="D420" t="s">
        <v>50</v>
      </c>
      <c r="E420" t="s">
        <v>47</v>
      </c>
    </row>
    <row r="421" spans="1:5" x14ac:dyDescent="0.3">
      <c r="A421">
        <v>1027942883</v>
      </c>
      <c r="B421" t="s">
        <v>545</v>
      </c>
      <c r="C421" t="s">
        <v>45</v>
      </c>
      <c r="D421" t="s">
        <v>46</v>
      </c>
      <c r="E421" t="s">
        <v>47</v>
      </c>
    </row>
    <row r="422" spans="1:5" x14ac:dyDescent="0.3">
      <c r="A422">
        <v>1040382506</v>
      </c>
      <c r="B422" t="s">
        <v>546</v>
      </c>
      <c r="C422" t="s">
        <v>45</v>
      </c>
      <c r="D422" t="s">
        <v>46</v>
      </c>
      <c r="E422" t="s">
        <v>47</v>
      </c>
    </row>
    <row r="423" spans="1:5" x14ac:dyDescent="0.3">
      <c r="A423">
        <v>1033377469</v>
      </c>
      <c r="B423" t="s">
        <v>547</v>
      </c>
      <c r="C423" t="s">
        <v>45</v>
      </c>
      <c r="D423" t="s">
        <v>22</v>
      </c>
      <c r="E423" t="s">
        <v>47</v>
      </c>
    </row>
    <row r="424" spans="1:5" x14ac:dyDescent="0.3">
      <c r="A424">
        <v>1007666793</v>
      </c>
      <c r="B424" t="s">
        <v>113</v>
      </c>
      <c r="C424" t="s">
        <v>45</v>
      </c>
      <c r="D424" t="s">
        <v>66</v>
      </c>
      <c r="E424" t="s">
        <v>67</v>
      </c>
    </row>
    <row r="425" spans="1:5" x14ac:dyDescent="0.3">
      <c r="A425">
        <v>1032260490</v>
      </c>
      <c r="B425" t="s">
        <v>548</v>
      </c>
      <c r="C425" t="s">
        <v>45</v>
      </c>
      <c r="D425" t="s">
        <v>71</v>
      </c>
      <c r="E425" t="s">
        <v>67</v>
      </c>
    </row>
    <row r="426" spans="1:5" x14ac:dyDescent="0.3">
      <c r="A426">
        <v>1002088236</v>
      </c>
      <c r="B426" t="s">
        <v>549</v>
      </c>
      <c r="C426" t="s">
        <v>550</v>
      </c>
      <c r="D426" t="s">
        <v>50</v>
      </c>
      <c r="E426" t="s">
        <v>47</v>
      </c>
    </row>
    <row r="427" spans="1:5" x14ac:dyDescent="0.3">
      <c r="A427">
        <v>1028042276</v>
      </c>
      <c r="B427" t="s">
        <v>551</v>
      </c>
      <c r="C427" t="s">
        <v>45</v>
      </c>
      <c r="D427" t="s">
        <v>46</v>
      </c>
      <c r="E427" t="s">
        <v>47</v>
      </c>
    </row>
    <row r="428" spans="1:5" x14ac:dyDescent="0.3">
      <c r="A428">
        <v>1001533908</v>
      </c>
      <c r="B428" t="s">
        <v>552</v>
      </c>
      <c r="C428" t="s">
        <v>45</v>
      </c>
      <c r="D428" t="s">
        <v>66</v>
      </c>
      <c r="E428" t="s">
        <v>67</v>
      </c>
    </row>
    <row r="429" spans="1:5" x14ac:dyDescent="0.3">
      <c r="A429">
        <v>1001669268</v>
      </c>
      <c r="B429" t="s">
        <v>553</v>
      </c>
      <c r="C429" t="s">
        <v>52</v>
      </c>
      <c r="D429" t="s">
        <v>46</v>
      </c>
      <c r="E429" t="s">
        <v>47</v>
      </c>
    </row>
    <row r="430" spans="1:5" x14ac:dyDescent="0.3">
      <c r="A430">
        <v>1028007386</v>
      </c>
      <c r="B430" t="s">
        <v>554</v>
      </c>
      <c r="C430" t="s">
        <v>537</v>
      </c>
      <c r="D430" t="s">
        <v>46</v>
      </c>
      <c r="E430" t="s">
        <v>47</v>
      </c>
    </row>
    <row r="431" spans="1:5" x14ac:dyDescent="0.3">
      <c r="A431">
        <v>1001031744</v>
      </c>
      <c r="B431" t="s">
        <v>555</v>
      </c>
      <c r="C431" t="s">
        <v>45</v>
      </c>
      <c r="D431" t="s">
        <v>46</v>
      </c>
      <c r="E431" t="s">
        <v>47</v>
      </c>
    </row>
    <row r="432" spans="1:5" x14ac:dyDescent="0.3">
      <c r="A432">
        <v>1001711805</v>
      </c>
      <c r="B432" t="s">
        <v>556</v>
      </c>
      <c r="C432" t="s">
        <v>45</v>
      </c>
      <c r="D432" t="s">
        <v>255</v>
      </c>
      <c r="E432" t="s">
        <v>47</v>
      </c>
    </row>
    <row r="433" spans="1:7" x14ac:dyDescent="0.3">
      <c r="A433">
        <v>1001029565</v>
      </c>
      <c r="B433" t="s">
        <v>557</v>
      </c>
      <c r="C433" t="s">
        <v>45</v>
      </c>
      <c r="D433" t="s">
        <v>46</v>
      </c>
      <c r="E433" t="s">
        <v>47</v>
      </c>
    </row>
    <row r="434" spans="1:7" x14ac:dyDescent="0.3">
      <c r="A434">
        <v>1028020074</v>
      </c>
      <c r="B434" t="s">
        <v>558</v>
      </c>
      <c r="C434" t="s">
        <v>45</v>
      </c>
      <c r="D434" t="s">
        <v>46</v>
      </c>
      <c r="E434" t="s">
        <v>47</v>
      </c>
    </row>
    <row r="435" spans="1:7" x14ac:dyDescent="0.3">
      <c r="A435">
        <v>1007755932</v>
      </c>
      <c r="B435" t="s">
        <v>559</v>
      </c>
      <c r="C435" t="s">
        <v>45</v>
      </c>
      <c r="D435" t="s">
        <v>85</v>
      </c>
      <c r="E435" t="s">
        <v>67</v>
      </c>
    </row>
    <row r="436" spans="1:7" x14ac:dyDescent="0.3">
      <c r="A436">
        <v>1001747477</v>
      </c>
      <c r="B436" t="s">
        <v>560</v>
      </c>
      <c r="C436" t="s">
        <v>45</v>
      </c>
      <c r="D436" t="s">
        <v>46</v>
      </c>
      <c r="E436" t="s">
        <v>47</v>
      </c>
    </row>
    <row r="437" spans="1:7" x14ac:dyDescent="0.3">
      <c r="A437">
        <v>1118870129</v>
      </c>
      <c r="B437" t="s">
        <v>561</v>
      </c>
      <c r="C437" t="s">
        <v>45</v>
      </c>
      <c r="D437" t="s">
        <v>46</v>
      </c>
      <c r="E437" t="s">
        <v>47</v>
      </c>
    </row>
    <row r="438" spans="1:7" x14ac:dyDescent="0.3">
      <c r="A438">
        <v>1001026399</v>
      </c>
      <c r="B438" t="s">
        <v>562</v>
      </c>
      <c r="C438" t="s">
        <v>45</v>
      </c>
      <c r="D438" t="s">
        <v>46</v>
      </c>
      <c r="E438" t="s">
        <v>47</v>
      </c>
    </row>
    <row r="439" spans="1:7" x14ac:dyDescent="0.3">
      <c r="A439">
        <v>1028011095</v>
      </c>
      <c r="B439" t="s">
        <v>563</v>
      </c>
      <c r="C439" t="s">
        <v>45</v>
      </c>
      <c r="D439" t="s">
        <v>46</v>
      </c>
      <c r="E439" t="s">
        <v>47</v>
      </c>
      <c r="G439" s="50"/>
    </row>
    <row r="440" spans="1:7" x14ac:dyDescent="0.3">
      <c r="A440">
        <v>10207947415</v>
      </c>
      <c r="B440" t="s">
        <v>564</v>
      </c>
      <c r="C440" t="s">
        <v>45</v>
      </c>
      <c r="D440" t="s">
        <v>46</v>
      </c>
      <c r="E440" t="s">
        <v>47</v>
      </c>
    </row>
    <row r="441" spans="1:7" x14ac:dyDescent="0.3">
      <c r="A441">
        <v>1028024126</v>
      </c>
      <c r="B441" t="s">
        <v>565</v>
      </c>
      <c r="C441" t="s">
        <v>45</v>
      </c>
      <c r="D441" t="s">
        <v>46</v>
      </c>
      <c r="E441" t="s">
        <v>47</v>
      </c>
    </row>
    <row r="442" spans="1:7" x14ac:dyDescent="0.3">
      <c r="A442">
        <v>1028006335</v>
      </c>
      <c r="B442" t="s">
        <v>566</v>
      </c>
      <c r="C442" t="s">
        <v>45</v>
      </c>
      <c r="D442" t="s">
        <v>46</v>
      </c>
      <c r="E442" t="s">
        <v>47</v>
      </c>
    </row>
    <row r="443" spans="1:7" x14ac:dyDescent="0.3">
      <c r="A443">
        <v>1028037502</v>
      </c>
      <c r="B443" t="s">
        <v>567</v>
      </c>
      <c r="C443" t="s">
        <v>45</v>
      </c>
      <c r="D443" t="s">
        <v>46</v>
      </c>
      <c r="E443" t="s">
        <v>47</v>
      </c>
    </row>
    <row r="444" spans="1:7" x14ac:dyDescent="0.3">
      <c r="A444">
        <v>1040363815</v>
      </c>
      <c r="B444" t="s">
        <v>568</v>
      </c>
      <c r="C444" t="s">
        <v>45</v>
      </c>
      <c r="D444" t="s">
        <v>46</v>
      </c>
      <c r="E444" t="s">
        <v>47</v>
      </c>
      <c r="F444" t="s">
        <v>628</v>
      </c>
    </row>
    <row r="445" spans="1:7" x14ac:dyDescent="0.3">
      <c r="A445">
        <v>1028031721</v>
      </c>
      <c r="B445" t="s">
        <v>569</v>
      </c>
      <c r="C445" t="s">
        <v>52</v>
      </c>
      <c r="D445" t="s">
        <v>46</v>
      </c>
      <c r="E445" t="s">
        <v>47</v>
      </c>
    </row>
    <row r="446" spans="1:7" x14ac:dyDescent="0.3">
      <c r="A446">
        <v>1133719614</v>
      </c>
      <c r="B446" t="s">
        <v>570</v>
      </c>
      <c r="C446" t="s">
        <v>45</v>
      </c>
      <c r="D446" t="s">
        <v>46</v>
      </c>
      <c r="E446" t="s">
        <v>47</v>
      </c>
    </row>
    <row r="447" spans="1:7" x14ac:dyDescent="0.3">
      <c r="A447">
        <v>1039079505</v>
      </c>
      <c r="B447" t="s">
        <v>571</v>
      </c>
      <c r="C447" t="s">
        <v>45</v>
      </c>
      <c r="D447" t="s">
        <v>46</v>
      </c>
      <c r="E447" t="s">
        <v>47</v>
      </c>
    </row>
    <row r="448" spans="1:7" x14ac:dyDescent="0.3">
      <c r="A448">
        <v>1033367193</v>
      </c>
      <c r="B448" t="s">
        <v>572</v>
      </c>
      <c r="C448" t="s">
        <v>45</v>
      </c>
      <c r="D448" t="s">
        <v>46</v>
      </c>
      <c r="E448" t="s">
        <v>47</v>
      </c>
    </row>
    <row r="449" spans="1:10" x14ac:dyDescent="0.3">
      <c r="A449">
        <v>1192724783</v>
      </c>
      <c r="B449" t="s">
        <v>573</v>
      </c>
      <c r="C449" t="s">
        <v>45</v>
      </c>
      <c r="D449" t="s">
        <v>46</v>
      </c>
      <c r="E449" t="s">
        <v>47</v>
      </c>
    </row>
    <row r="450" spans="1:10" x14ac:dyDescent="0.3">
      <c r="A450">
        <v>1007397984</v>
      </c>
      <c r="B450" t="s">
        <v>574</v>
      </c>
      <c r="C450" t="s">
        <v>537</v>
      </c>
      <c r="D450" t="s">
        <v>46</v>
      </c>
      <c r="E450" t="s">
        <v>47</v>
      </c>
    </row>
    <row r="451" spans="1:10" x14ac:dyDescent="0.3">
      <c r="A451">
        <v>1005278921</v>
      </c>
      <c r="B451" t="s">
        <v>575</v>
      </c>
      <c r="C451" t="s">
        <v>45</v>
      </c>
      <c r="D451" t="s">
        <v>46</v>
      </c>
      <c r="E451" t="s">
        <v>47</v>
      </c>
    </row>
    <row r="452" spans="1:10" x14ac:dyDescent="0.3">
      <c r="A452">
        <v>1041266718</v>
      </c>
      <c r="B452" t="s">
        <v>576</v>
      </c>
      <c r="C452" t="s">
        <v>537</v>
      </c>
      <c r="D452" t="s">
        <v>251</v>
      </c>
      <c r="E452" t="s">
        <v>47</v>
      </c>
    </row>
    <row r="453" spans="1:10" x14ac:dyDescent="0.3">
      <c r="A453">
        <v>1040368275</v>
      </c>
      <c r="B453" t="s">
        <v>577</v>
      </c>
      <c r="C453" t="s">
        <v>52</v>
      </c>
      <c r="D453" t="s">
        <v>46</v>
      </c>
      <c r="E453" t="s">
        <v>47</v>
      </c>
      <c r="J453" s="50"/>
    </row>
    <row r="454" spans="1:10" x14ac:dyDescent="0.3">
      <c r="A454">
        <v>1001548208</v>
      </c>
      <c r="B454" t="s">
        <v>578</v>
      </c>
      <c r="C454" t="s">
        <v>45</v>
      </c>
      <c r="D454" t="s">
        <v>74</v>
      </c>
      <c r="E454" t="s">
        <v>67</v>
      </c>
    </row>
    <row r="455" spans="1:10" x14ac:dyDescent="0.3">
      <c r="A455">
        <v>1045526114</v>
      </c>
      <c r="B455" t="s">
        <v>579</v>
      </c>
      <c r="C455" t="s">
        <v>45</v>
      </c>
      <c r="D455" t="s">
        <v>50</v>
      </c>
      <c r="E455" t="s">
        <v>47</v>
      </c>
    </row>
    <row r="456" spans="1:10" x14ac:dyDescent="0.3">
      <c r="A456">
        <v>1128198640</v>
      </c>
      <c r="B456" t="s">
        <v>580</v>
      </c>
      <c r="C456" t="s">
        <v>45</v>
      </c>
      <c r="D456" t="s">
        <v>77</v>
      </c>
      <c r="E456" t="s">
        <v>47</v>
      </c>
    </row>
    <row r="457" spans="1:10" x14ac:dyDescent="0.3">
      <c r="A457">
        <v>1045511607</v>
      </c>
      <c r="B457" t="s">
        <v>581</v>
      </c>
      <c r="C457" t="s">
        <v>45</v>
      </c>
      <c r="D457" t="s">
        <v>50</v>
      </c>
      <c r="E457" t="s">
        <v>47</v>
      </c>
    </row>
    <row r="458" spans="1:10" x14ac:dyDescent="0.3">
      <c r="A458">
        <v>1045520853</v>
      </c>
      <c r="B458" t="s">
        <v>582</v>
      </c>
      <c r="C458" t="s">
        <v>45</v>
      </c>
      <c r="D458" t="s">
        <v>50</v>
      </c>
      <c r="E458" t="s">
        <v>47</v>
      </c>
    </row>
    <row r="459" spans="1:10" x14ac:dyDescent="0.3">
      <c r="A459">
        <v>1045504482</v>
      </c>
      <c r="B459" t="s">
        <v>583</v>
      </c>
      <c r="C459" t="s">
        <v>45</v>
      </c>
      <c r="D459" t="s">
        <v>50</v>
      </c>
      <c r="E459" t="s">
        <v>47</v>
      </c>
    </row>
    <row r="460" spans="1:10" x14ac:dyDescent="0.3">
      <c r="A460">
        <v>1040374089</v>
      </c>
      <c r="B460" t="s">
        <v>584</v>
      </c>
      <c r="C460" t="s">
        <v>52</v>
      </c>
      <c r="D460" t="s">
        <v>50</v>
      </c>
      <c r="E460" t="s">
        <v>47</v>
      </c>
    </row>
    <row r="461" spans="1:10" x14ac:dyDescent="0.3">
      <c r="A461">
        <v>1077437893</v>
      </c>
      <c r="B461" t="s">
        <v>585</v>
      </c>
      <c r="C461" t="s">
        <v>45</v>
      </c>
      <c r="D461" t="s">
        <v>50</v>
      </c>
      <c r="E461" t="s">
        <v>47</v>
      </c>
    </row>
    <row r="462" spans="1:10" x14ac:dyDescent="0.3">
      <c r="A462">
        <v>1045492766</v>
      </c>
      <c r="B462" t="s">
        <v>586</v>
      </c>
      <c r="C462" t="s">
        <v>45</v>
      </c>
      <c r="D462" t="s">
        <v>50</v>
      </c>
      <c r="E462" t="s">
        <v>47</v>
      </c>
    </row>
    <row r="463" spans="1:10" x14ac:dyDescent="0.3">
      <c r="A463">
        <v>1038115669</v>
      </c>
      <c r="B463" t="s">
        <v>218</v>
      </c>
      <c r="C463" t="s">
        <v>45</v>
      </c>
      <c r="D463" t="s">
        <v>66</v>
      </c>
      <c r="E463" t="s">
        <v>67</v>
      </c>
    </row>
    <row r="464" spans="1:10" x14ac:dyDescent="0.3">
      <c r="A464">
        <v>1193148116</v>
      </c>
      <c r="B464" t="s">
        <v>587</v>
      </c>
      <c r="C464" t="s">
        <v>45</v>
      </c>
      <c r="D464" t="s">
        <v>255</v>
      </c>
      <c r="E464" t="s">
        <v>47</v>
      </c>
    </row>
    <row r="465" spans="1:13" x14ac:dyDescent="0.3">
      <c r="A465">
        <v>1028016344</v>
      </c>
      <c r="B465" t="s">
        <v>588</v>
      </c>
      <c r="C465" t="s">
        <v>52</v>
      </c>
      <c r="D465" t="s">
        <v>50</v>
      </c>
      <c r="E465" t="s">
        <v>47</v>
      </c>
    </row>
    <row r="466" spans="1:13" x14ac:dyDescent="0.3">
      <c r="A466">
        <v>1007901314</v>
      </c>
      <c r="B466" t="s">
        <v>589</v>
      </c>
      <c r="C466" t="s">
        <v>52</v>
      </c>
      <c r="D466" t="s">
        <v>66</v>
      </c>
      <c r="E466" t="s">
        <v>67</v>
      </c>
    </row>
    <row r="467" spans="1:13" x14ac:dyDescent="0.3">
      <c r="A467">
        <v>1036781895</v>
      </c>
      <c r="B467" t="s">
        <v>590</v>
      </c>
      <c r="C467" t="s">
        <v>52</v>
      </c>
      <c r="D467" t="s">
        <v>50</v>
      </c>
      <c r="E467" t="s">
        <v>47</v>
      </c>
    </row>
    <row r="468" spans="1:13" x14ac:dyDescent="0.3">
      <c r="A468">
        <v>1045520914</v>
      </c>
      <c r="B468" t="s">
        <v>591</v>
      </c>
      <c r="C468" t="s">
        <v>45</v>
      </c>
      <c r="D468" t="s">
        <v>50</v>
      </c>
      <c r="E468" t="s">
        <v>47</v>
      </c>
    </row>
    <row r="469" spans="1:13" x14ac:dyDescent="0.3">
      <c r="A469">
        <v>1001158835</v>
      </c>
      <c r="B469" t="s">
        <v>592</v>
      </c>
      <c r="C469" t="s">
        <v>45</v>
      </c>
      <c r="D469" t="s">
        <v>71</v>
      </c>
      <c r="E469" t="s">
        <v>67</v>
      </c>
    </row>
    <row r="470" spans="1:13" x14ac:dyDescent="0.3">
      <c r="A470">
        <v>1125408909</v>
      </c>
      <c r="B470" t="s">
        <v>593</v>
      </c>
      <c r="C470" t="s">
        <v>45</v>
      </c>
      <c r="D470" t="s">
        <v>255</v>
      </c>
      <c r="E470" t="s">
        <v>47</v>
      </c>
    </row>
    <row r="471" spans="1:13" x14ac:dyDescent="0.3">
      <c r="A471">
        <v>70528770</v>
      </c>
      <c r="B471" t="s">
        <v>594</v>
      </c>
      <c r="C471" t="s">
        <v>537</v>
      </c>
      <c r="D471" t="s">
        <v>22</v>
      </c>
      <c r="E471" t="s">
        <v>47</v>
      </c>
    </row>
    <row r="472" spans="1:13" x14ac:dyDescent="0.3">
      <c r="A472">
        <v>70524342</v>
      </c>
      <c r="B472" t="s">
        <v>595</v>
      </c>
      <c r="C472" t="s">
        <v>52</v>
      </c>
      <c r="D472" t="s">
        <v>22</v>
      </c>
      <c r="E472" t="s">
        <v>47</v>
      </c>
    </row>
    <row r="473" spans="1:13" x14ac:dyDescent="0.3">
      <c r="A473">
        <v>1193148521</v>
      </c>
      <c r="B473" t="s">
        <v>596</v>
      </c>
      <c r="C473" t="s">
        <v>45</v>
      </c>
      <c r="D473" t="s">
        <v>66</v>
      </c>
      <c r="E473" t="s">
        <v>67</v>
      </c>
    </row>
    <row r="474" spans="1:13" x14ac:dyDescent="0.3">
      <c r="A474">
        <v>98652070</v>
      </c>
      <c r="B474" t="s">
        <v>597</v>
      </c>
      <c r="C474" t="s">
        <v>52</v>
      </c>
      <c r="D474" t="s">
        <v>66</v>
      </c>
      <c r="E474" t="s">
        <v>67</v>
      </c>
    </row>
    <row r="475" spans="1:13" x14ac:dyDescent="0.3">
      <c r="A475">
        <v>1007665435</v>
      </c>
      <c r="B475" t="s">
        <v>598</v>
      </c>
      <c r="C475" t="s">
        <v>45</v>
      </c>
      <c r="D475" t="s">
        <v>97</v>
      </c>
      <c r="E475" t="s">
        <v>67</v>
      </c>
    </row>
    <row r="476" spans="1:13" x14ac:dyDescent="0.3">
      <c r="A476">
        <v>1038113846</v>
      </c>
      <c r="B476" t="s">
        <v>599</v>
      </c>
      <c r="C476" t="s">
        <v>52</v>
      </c>
      <c r="D476" t="s">
        <v>66</v>
      </c>
      <c r="E476" t="s">
        <v>67</v>
      </c>
    </row>
    <row r="477" spans="1:13" x14ac:dyDescent="0.3">
      <c r="A477">
        <v>1038124237</v>
      </c>
      <c r="B477" t="s">
        <v>600</v>
      </c>
      <c r="C477" t="s">
        <v>45</v>
      </c>
      <c r="D477" t="s">
        <v>66</v>
      </c>
      <c r="E477" t="s">
        <v>67</v>
      </c>
      <c r="M477" s="51"/>
    </row>
    <row r="478" spans="1:13" x14ac:dyDescent="0.3">
      <c r="A478">
        <v>1028021127</v>
      </c>
      <c r="B478" t="s">
        <v>601</v>
      </c>
      <c r="C478" t="s">
        <v>52</v>
      </c>
      <c r="D478" t="s">
        <v>46</v>
      </c>
      <c r="E478" t="s">
        <v>47</v>
      </c>
      <c r="M478" s="51"/>
    </row>
    <row r="479" spans="1:13" x14ac:dyDescent="0.3">
      <c r="A479">
        <v>1045526041</v>
      </c>
      <c r="B479" t="s">
        <v>602</v>
      </c>
      <c r="C479" t="s">
        <v>45</v>
      </c>
      <c r="D479" t="s">
        <v>255</v>
      </c>
      <c r="E479" t="s">
        <v>47</v>
      </c>
    </row>
    <row r="480" spans="1:13" x14ac:dyDescent="0.3">
      <c r="A480">
        <v>1121942734</v>
      </c>
      <c r="B480" t="s">
        <v>603</v>
      </c>
      <c r="C480" t="s">
        <v>45</v>
      </c>
      <c r="D480" t="s">
        <v>22</v>
      </c>
      <c r="E480" t="s">
        <v>47</v>
      </c>
    </row>
    <row r="481" spans="1:5" x14ac:dyDescent="0.3">
      <c r="A481">
        <v>1038115669</v>
      </c>
      <c r="B481" t="s">
        <v>218</v>
      </c>
      <c r="C481" t="s">
        <v>45</v>
      </c>
      <c r="D481" t="s">
        <v>66</v>
      </c>
      <c r="E481" t="s">
        <v>67</v>
      </c>
    </row>
    <row r="482" spans="1:5" x14ac:dyDescent="0.3">
      <c r="A482">
        <v>39282880</v>
      </c>
      <c r="B482" t="s">
        <v>604</v>
      </c>
      <c r="C482" t="s">
        <v>45</v>
      </c>
      <c r="D482" t="s">
        <v>66</v>
      </c>
      <c r="E482" t="s">
        <v>67</v>
      </c>
    </row>
    <row r="483" spans="1:5" x14ac:dyDescent="0.3">
      <c r="A483">
        <v>1038105526</v>
      </c>
      <c r="B483" t="s">
        <v>605</v>
      </c>
      <c r="C483" t="s">
        <v>45</v>
      </c>
      <c r="D483" t="s">
        <v>66</v>
      </c>
      <c r="E483" t="s">
        <v>67</v>
      </c>
    </row>
    <row r="484" spans="1:5" x14ac:dyDescent="0.3">
      <c r="A484">
        <v>1028013428</v>
      </c>
      <c r="B484" t="s">
        <v>606</v>
      </c>
      <c r="C484" t="s">
        <v>52</v>
      </c>
      <c r="D484" t="s">
        <v>46</v>
      </c>
      <c r="E484" t="s">
        <v>47</v>
      </c>
    </row>
    <row r="485" spans="1:5" x14ac:dyDescent="0.3">
      <c r="A485">
        <v>1041262443</v>
      </c>
      <c r="B485" t="s">
        <v>607</v>
      </c>
      <c r="C485" t="s">
        <v>45</v>
      </c>
      <c r="D485" t="s">
        <v>251</v>
      </c>
      <c r="E485" t="s">
        <v>47</v>
      </c>
    </row>
    <row r="486" spans="1:5" x14ac:dyDescent="0.3">
      <c r="A486">
        <v>1038822710</v>
      </c>
      <c r="B486" t="s">
        <v>608</v>
      </c>
      <c r="C486" t="s">
        <v>45</v>
      </c>
      <c r="D486" t="s">
        <v>66</v>
      </c>
      <c r="E486" t="s">
        <v>67</v>
      </c>
    </row>
    <row r="487" spans="1:5" x14ac:dyDescent="0.3">
      <c r="A487">
        <v>1028029855</v>
      </c>
      <c r="B487" t="s">
        <v>609</v>
      </c>
      <c r="C487" t="s">
        <v>45</v>
      </c>
      <c r="D487" t="s">
        <v>50</v>
      </c>
      <c r="E487" t="s">
        <v>47</v>
      </c>
    </row>
    <row r="488" spans="1:5" x14ac:dyDescent="0.3">
      <c r="A488">
        <v>1007259601</v>
      </c>
      <c r="B488" t="s">
        <v>610</v>
      </c>
      <c r="C488" t="s">
        <v>611</v>
      </c>
      <c r="D488" t="s">
        <v>66</v>
      </c>
      <c r="E488" t="s">
        <v>67</v>
      </c>
    </row>
    <row r="489" spans="1:5" x14ac:dyDescent="0.3">
      <c r="A489">
        <v>1038124237</v>
      </c>
      <c r="B489" t="s">
        <v>600</v>
      </c>
      <c r="C489" t="s">
        <v>611</v>
      </c>
      <c r="D489" t="s">
        <v>66</v>
      </c>
      <c r="E489" t="s">
        <v>67</v>
      </c>
    </row>
    <row r="490" spans="1:5" x14ac:dyDescent="0.3">
      <c r="A490">
        <v>1028042034</v>
      </c>
      <c r="B490" t="s">
        <v>612</v>
      </c>
      <c r="C490" t="s">
        <v>611</v>
      </c>
      <c r="D490" t="s">
        <v>46</v>
      </c>
      <c r="E490" t="s">
        <v>47</v>
      </c>
    </row>
    <row r="491" spans="1:5" x14ac:dyDescent="0.3">
      <c r="A491">
        <v>1007562507</v>
      </c>
      <c r="B491" t="s">
        <v>613</v>
      </c>
      <c r="C491" t="s">
        <v>611</v>
      </c>
      <c r="D491" t="s">
        <v>22</v>
      </c>
      <c r="E491" t="s">
        <v>47</v>
      </c>
    </row>
    <row r="492" spans="1:5" x14ac:dyDescent="0.3">
      <c r="A492">
        <v>1038648261</v>
      </c>
      <c r="B492" t="s">
        <v>614</v>
      </c>
      <c r="C492" t="s">
        <v>611</v>
      </c>
      <c r="D492" t="s">
        <v>66</v>
      </c>
      <c r="E492" t="s">
        <v>67</v>
      </c>
    </row>
    <row r="493" spans="1:5" x14ac:dyDescent="0.3">
      <c r="A493">
        <v>1038108514</v>
      </c>
      <c r="B493" t="s">
        <v>615</v>
      </c>
      <c r="C493" t="s">
        <v>611</v>
      </c>
      <c r="D493" t="s">
        <v>66</v>
      </c>
      <c r="E493" t="s">
        <v>67</v>
      </c>
    </row>
    <row r="494" spans="1:5" x14ac:dyDescent="0.3">
      <c r="A494">
        <v>1078638382</v>
      </c>
      <c r="B494" t="s">
        <v>616</v>
      </c>
      <c r="C494" t="s">
        <v>52</v>
      </c>
      <c r="D494" t="s">
        <v>46</v>
      </c>
      <c r="E494" t="s">
        <v>47</v>
      </c>
    </row>
    <row r="495" spans="1:5" x14ac:dyDescent="0.3">
      <c r="A495">
        <v>1005676981</v>
      </c>
      <c r="B495" t="s">
        <v>617</v>
      </c>
      <c r="C495" t="s">
        <v>52</v>
      </c>
      <c r="D495" t="s">
        <v>66</v>
      </c>
      <c r="E495" t="s">
        <v>67</v>
      </c>
    </row>
    <row r="496" spans="1:5" x14ac:dyDescent="0.3">
      <c r="A496">
        <v>1001597554</v>
      </c>
      <c r="B496" t="s">
        <v>618</v>
      </c>
      <c r="C496" t="s">
        <v>611</v>
      </c>
      <c r="D496" t="s">
        <v>77</v>
      </c>
      <c r="E496" t="s">
        <v>47</v>
      </c>
    </row>
    <row r="497" spans="1:9" x14ac:dyDescent="0.3">
      <c r="A497">
        <v>1045522920</v>
      </c>
      <c r="B497" t="s">
        <v>619</v>
      </c>
      <c r="C497" t="s">
        <v>611</v>
      </c>
      <c r="D497" t="s">
        <v>255</v>
      </c>
      <c r="E497" t="s">
        <v>47</v>
      </c>
    </row>
    <row r="498" spans="1:9" x14ac:dyDescent="0.3">
      <c r="A498">
        <v>1038124237</v>
      </c>
      <c r="B498" t="s">
        <v>600</v>
      </c>
      <c r="C498" t="s">
        <v>611</v>
      </c>
      <c r="D498" t="s">
        <v>66</v>
      </c>
      <c r="E498" t="s">
        <v>67</v>
      </c>
    </row>
    <row r="499" spans="1:9" x14ac:dyDescent="0.3">
      <c r="A499">
        <v>1007444719</v>
      </c>
      <c r="B499" t="s">
        <v>620</v>
      </c>
      <c r="C499" t="s">
        <v>611</v>
      </c>
      <c r="D499" t="s">
        <v>66</v>
      </c>
      <c r="E499" t="s">
        <v>67</v>
      </c>
    </row>
    <row r="500" spans="1:9" x14ac:dyDescent="0.3">
      <c r="A500">
        <v>1000932124</v>
      </c>
      <c r="B500" t="s">
        <v>621</v>
      </c>
      <c r="C500" t="s">
        <v>611</v>
      </c>
      <c r="D500" t="s">
        <v>85</v>
      </c>
      <c r="E500" t="s">
        <v>67</v>
      </c>
    </row>
    <row r="501" spans="1:9" x14ac:dyDescent="0.3">
      <c r="A501">
        <v>1039078272</v>
      </c>
      <c r="B501" t="s">
        <v>622</v>
      </c>
      <c r="C501" t="s">
        <v>45</v>
      </c>
      <c r="D501" t="s">
        <v>77</v>
      </c>
      <c r="E501" t="s">
        <v>47</v>
      </c>
    </row>
    <row r="502" spans="1:9" x14ac:dyDescent="0.3">
      <c r="A502">
        <v>1007726820</v>
      </c>
      <c r="B502" t="s">
        <v>623</v>
      </c>
      <c r="C502" t="s">
        <v>611</v>
      </c>
      <c r="D502" t="s">
        <v>50</v>
      </c>
      <c r="E502" t="s">
        <v>47</v>
      </c>
    </row>
    <row r="503" spans="1:9" x14ac:dyDescent="0.3">
      <c r="A503">
        <v>1102577881</v>
      </c>
      <c r="B503" t="s">
        <v>624</v>
      </c>
      <c r="C503" t="s">
        <v>45</v>
      </c>
      <c r="D503" t="s">
        <v>66</v>
      </c>
      <c r="E503" t="s">
        <v>67</v>
      </c>
    </row>
    <row r="504" spans="1:9" x14ac:dyDescent="0.3">
      <c r="A504">
        <v>1193094986</v>
      </c>
      <c r="B504" t="s">
        <v>625</v>
      </c>
      <c r="C504" t="s">
        <v>45</v>
      </c>
      <c r="D504" t="s">
        <v>66</v>
      </c>
      <c r="E504" t="s">
        <v>67</v>
      </c>
    </row>
    <row r="505" spans="1:9" x14ac:dyDescent="0.3">
      <c r="A505">
        <v>1038478704</v>
      </c>
      <c r="B505" t="s">
        <v>626</v>
      </c>
      <c r="C505" t="s">
        <v>52</v>
      </c>
      <c r="D505" t="s">
        <v>66</v>
      </c>
      <c r="E505" t="s">
        <v>67</v>
      </c>
    </row>
    <row r="506" spans="1:9" x14ac:dyDescent="0.3">
      <c r="A506">
        <v>1045518920</v>
      </c>
      <c r="B506" t="s">
        <v>627</v>
      </c>
      <c r="C506" t="s">
        <v>550</v>
      </c>
      <c r="D506" t="s">
        <v>58</v>
      </c>
      <c r="E506" t="s">
        <v>47</v>
      </c>
      <c r="I506" s="50"/>
    </row>
    <row r="507" spans="1:9" x14ac:dyDescent="0.3">
      <c r="A507">
        <v>1063652401</v>
      </c>
      <c r="B507" t="s">
        <v>629</v>
      </c>
      <c r="C507" t="s">
        <v>611</v>
      </c>
      <c r="D507" t="s">
        <v>22</v>
      </c>
      <c r="E507" t="s">
        <v>47</v>
      </c>
      <c r="G507" s="50"/>
    </row>
    <row r="508" spans="1:9" x14ac:dyDescent="0.3">
      <c r="A508">
        <v>1038093616</v>
      </c>
      <c r="B508" t="s">
        <v>630</v>
      </c>
      <c r="C508" t="s">
        <v>611</v>
      </c>
      <c r="D508" t="s">
        <v>66</v>
      </c>
      <c r="E508" t="s">
        <v>67</v>
      </c>
    </row>
    <row r="509" spans="1:9" x14ac:dyDescent="0.3">
      <c r="A509">
        <v>1045107448</v>
      </c>
      <c r="B509" t="s">
        <v>631</v>
      </c>
      <c r="C509" t="s">
        <v>611</v>
      </c>
      <c r="D509" t="s">
        <v>71</v>
      </c>
      <c r="E509" t="s">
        <v>67</v>
      </c>
    </row>
    <row r="510" spans="1:9" x14ac:dyDescent="0.3">
      <c r="A510">
        <v>1038124202</v>
      </c>
      <c r="B510" t="s">
        <v>632</v>
      </c>
      <c r="C510" t="s">
        <v>537</v>
      </c>
      <c r="D510" t="s">
        <v>66</v>
      </c>
      <c r="E510" t="s">
        <v>67</v>
      </c>
    </row>
    <row r="511" spans="1:9" x14ac:dyDescent="0.3">
      <c r="A511">
        <v>1001021140</v>
      </c>
      <c r="B511" t="s">
        <v>634</v>
      </c>
      <c r="C511" t="s">
        <v>611</v>
      </c>
      <c r="D511" t="s">
        <v>46</v>
      </c>
      <c r="E511" t="s">
        <v>47</v>
      </c>
    </row>
    <row r="512" spans="1:9" x14ac:dyDescent="0.3">
      <c r="A512">
        <v>1033376713</v>
      </c>
      <c r="B512" t="s">
        <v>635</v>
      </c>
      <c r="C512" t="s">
        <v>45</v>
      </c>
      <c r="D512" t="s">
        <v>22</v>
      </c>
      <c r="E512" t="s">
        <v>47</v>
      </c>
      <c r="G512" s="50"/>
    </row>
    <row r="513" spans="1:5" x14ac:dyDescent="0.3">
      <c r="A513">
        <v>1028035128</v>
      </c>
      <c r="B513" t="s">
        <v>636</v>
      </c>
      <c r="C513" t="s">
        <v>611</v>
      </c>
      <c r="D513" t="s">
        <v>46</v>
      </c>
      <c r="E513" t="s">
        <v>47</v>
      </c>
    </row>
    <row r="514" spans="1:5" x14ac:dyDescent="0.3">
      <c r="A514">
        <v>1001595214</v>
      </c>
      <c r="B514" t="s">
        <v>637</v>
      </c>
      <c r="C514" t="s">
        <v>611</v>
      </c>
      <c r="D514" t="s">
        <v>46</v>
      </c>
      <c r="E514" t="s">
        <v>47</v>
      </c>
    </row>
    <row r="515" spans="1:5" x14ac:dyDescent="0.3">
      <c r="A515">
        <v>1045140289</v>
      </c>
      <c r="B515" t="s">
        <v>638</v>
      </c>
      <c r="C515" t="s">
        <v>611</v>
      </c>
      <c r="D515" t="s">
        <v>85</v>
      </c>
      <c r="E515" t="s">
        <v>67</v>
      </c>
    </row>
    <row r="516" spans="1:5" x14ac:dyDescent="0.3">
      <c r="A516">
        <v>1076384824</v>
      </c>
      <c r="B516" t="s">
        <v>639</v>
      </c>
      <c r="C516" t="s">
        <v>52</v>
      </c>
      <c r="D516" t="s">
        <v>66</v>
      </c>
      <c r="E516" t="s">
        <v>67</v>
      </c>
    </row>
    <row r="517" spans="1:5" x14ac:dyDescent="0.3">
      <c r="A517">
        <v>1104404203</v>
      </c>
      <c r="B517" t="s">
        <v>640</v>
      </c>
      <c r="C517" t="s">
        <v>52</v>
      </c>
      <c r="D517" t="s">
        <v>66</v>
      </c>
      <c r="E517" t="s">
        <v>67</v>
      </c>
    </row>
    <row r="518" spans="1:5" x14ac:dyDescent="0.3">
      <c r="A518">
        <v>1032177781</v>
      </c>
      <c r="B518" t="s">
        <v>641</v>
      </c>
      <c r="C518" t="s">
        <v>611</v>
      </c>
      <c r="D518" t="s">
        <v>46</v>
      </c>
      <c r="E518" t="s">
        <v>47</v>
      </c>
    </row>
    <row r="519" spans="1:5" x14ac:dyDescent="0.3">
      <c r="A519">
        <v>1045136242</v>
      </c>
      <c r="B519" t="s">
        <v>642</v>
      </c>
      <c r="C519" t="s">
        <v>611</v>
      </c>
      <c r="D519" t="s">
        <v>85</v>
      </c>
      <c r="E519" t="s">
        <v>67</v>
      </c>
    </row>
    <row r="520" spans="1:5" x14ac:dyDescent="0.3">
      <c r="A520">
        <v>1039697766</v>
      </c>
      <c r="B520" t="s">
        <v>643</v>
      </c>
      <c r="C520" t="s">
        <v>45</v>
      </c>
      <c r="D520" t="s">
        <v>46</v>
      </c>
      <c r="E520" t="s">
        <v>47</v>
      </c>
    </row>
    <row r="521" spans="1:5" x14ac:dyDescent="0.3">
      <c r="A521">
        <v>1028012863</v>
      </c>
      <c r="B521" t="s">
        <v>644</v>
      </c>
      <c r="C521" t="s">
        <v>45</v>
      </c>
      <c r="D521" t="s">
        <v>46</v>
      </c>
      <c r="E521" t="s">
        <v>47</v>
      </c>
    </row>
    <row r="522" spans="1:5" x14ac:dyDescent="0.3">
      <c r="A522">
        <v>1040366058</v>
      </c>
      <c r="B522" t="s">
        <v>645</v>
      </c>
      <c r="C522" t="s">
        <v>45</v>
      </c>
      <c r="D522" t="s">
        <v>46</v>
      </c>
      <c r="E522" t="s">
        <v>47</v>
      </c>
    </row>
    <row r="523" spans="1:5" x14ac:dyDescent="0.3">
      <c r="A523">
        <v>1041262724</v>
      </c>
      <c r="B523" t="s">
        <v>646</v>
      </c>
      <c r="C523" t="s">
        <v>138</v>
      </c>
      <c r="D523" t="s">
        <v>251</v>
      </c>
      <c r="E523" t="s">
        <v>647</v>
      </c>
    </row>
    <row r="524" spans="1:5" x14ac:dyDescent="0.3">
      <c r="A524">
        <v>1038439795</v>
      </c>
      <c r="B524" t="s">
        <v>648</v>
      </c>
      <c r="C524" t="s">
        <v>611</v>
      </c>
      <c r="D524" t="s">
        <v>74</v>
      </c>
      <c r="E524" t="s">
        <v>67</v>
      </c>
    </row>
    <row r="525" spans="1:5" x14ac:dyDescent="0.3">
      <c r="A525">
        <v>1038436004</v>
      </c>
      <c r="B525" t="s">
        <v>649</v>
      </c>
      <c r="C525" t="s">
        <v>611</v>
      </c>
      <c r="D525" t="s">
        <v>74</v>
      </c>
      <c r="E525" t="s">
        <v>67</v>
      </c>
    </row>
    <row r="526" spans="1:5" x14ac:dyDescent="0.3">
      <c r="A526">
        <v>1041266910</v>
      </c>
      <c r="B526" t="s">
        <v>650</v>
      </c>
      <c r="C526" t="s">
        <v>45</v>
      </c>
      <c r="D526" t="s">
        <v>251</v>
      </c>
      <c r="E526" t="s">
        <v>47</v>
      </c>
    </row>
    <row r="527" spans="1:5" x14ac:dyDescent="0.3">
      <c r="A527">
        <v>1001034786</v>
      </c>
      <c r="B527" t="s">
        <v>651</v>
      </c>
      <c r="C527" t="s">
        <v>611</v>
      </c>
      <c r="D527" t="s">
        <v>46</v>
      </c>
      <c r="E527" t="s">
        <v>47</v>
      </c>
    </row>
    <row r="528" spans="1:5" x14ac:dyDescent="0.3">
      <c r="A528">
        <v>1028024883</v>
      </c>
      <c r="B528" t="s">
        <v>652</v>
      </c>
      <c r="C528" t="s">
        <v>138</v>
      </c>
      <c r="D528" t="s">
        <v>46</v>
      </c>
      <c r="E528" t="s">
        <v>47</v>
      </c>
    </row>
    <row r="529" spans="1:9" x14ac:dyDescent="0.3">
      <c r="A529">
        <v>1040370133</v>
      </c>
      <c r="B529" t="s">
        <v>653</v>
      </c>
      <c r="C529" t="s">
        <v>138</v>
      </c>
      <c r="D529" t="s">
        <v>46</v>
      </c>
      <c r="E529" t="s">
        <v>47</v>
      </c>
    </row>
    <row r="530" spans="1:9" x14ac:dyDescent="0.3">
      <c r="A530">
        <v>1007154941</v>
      </c>
      <c r="B530" t="s">
        <v>654</v>
      </c>
      <c r="C530" t="s">
        <v>611</v>
      </c>
      <c r="D530" t="s">
        <v>50</v>
      </c>
      <c r="E530" t="s">
        <v>47</v>
      </c>
    </row>
    <row r="531" spans="1:9" x14ac:dyDescent="0.3">
      <c r="A531">
        <v>1007847829</v>
      </c>
      <c r="B531" t="s">
        <v>655</v>
      </c>
      <c r="C531" t="s">
        <v>611</v>
      </c>
      <c r="D531" t="s">
        <v>50</v>
      </c>
      <c r="E531" t="s">
        <v>47</v>
      </c>
    </row>
    <row r="532" spans="1:9" x14ac:dyDescent="0.3">
      <c r="A532">
        <v>1010048586</v>
      </c>
      <c r="B532" t="s">
        <v>656</v>
      </c>
      <c r="C532" t="s">
        <v>45</v>
      </c>
      <c r="D532" t="s">
        <v>255</v>
      </c>
      <c r="E532" t="s">
        <v>47</v>
      </c>
    </row>
    <row r="533" spans="1:9" x14ac:dyDescent="0.3">
      <c r="A533">
        <v>1032249921</v>
      </c>
      <c r="B533" t="s">
        <v>657</v>
      </c>
      <c r="C533" t="s">
        <v>45</v>
      </c>
      <c r="D533" t="s">
        <v>71</v>
      </c>
      <c r="E533" t="s">
        <v>67</v>
      </c>
    </row>
    <row r="534" spans="1:9" x14ac:dyDescent="0.3">
      <c r="A534">
        <v>1038480175</v>
      </c>
      <c r="B534" t="s">
        <v>658</v>
      </c>
      <c r="C534" t="s">
        <v>611</v>
      </c>
      <c r="D534" t="s">
        <v>71</v>
      </c>
      <c r="E534" t="s">
        <v>67</v>
      </c>
    </row>
    <row r="535" spans="1:9" x14ac:dyDescent="0.3">
      <c r="A535">
        <v>1045137714</v>
      </c>
      <c r="B535" t="s">
        <v>659</v>
      </c>
      <c r="C535" t="s">
        <v>45</v>
      </c>
      <c r="D535" t="s">
        <v>85</v>
      </c>
      <c r="E535" t="s">
        <v>67</v>
      </c>
    </row>
    <row r="536" spans="1:9" x14ac:dyDescent="0.3">
      <c r="A536">
        <v>1045512105</v>
      </c>
      <c r="B536" t="s">
        <v>660</v>
      </c>
      <c r="C536" t="s">
        <v>52</v>
      </c>
      <c r="D536" t="s">
        <v>46</v>
      </c>
      <c r="E536" t="s">
        <v>47</v>
      </c>
    </row>
    <row r="537" spans="1:9" x14ac:dyDescent="0.3">
      <c r="A537">
        <v>1096249974</v>
      </c>
      <c r="B537" t="s">
        <v>661</v>
      </c>
      <c r="C537" t="s">
        <v>611</v>
      </c>
      <c r="D537" t="s">
        <v>66</v>
      </c>
      <c r="E537" t="s">
        <v>67</v>
      </c>
    </row>
    <row r="538" spans="1:9" x14ac:dyDescent="0.3">
      <c r="A538">
        <v>1038137265</v>
      </c>
      <c r="B538" t="s">
        <v>662</v>
      </c>
      <c r="C538" t="s">
        <v>611</v>
      </c>
      <c r="D538" t="s">
        <v>66</v>
      </c>
      <c r="E538" t="s">
        <v>67</v>
      </c>
    </row>
    <row r="539" spans="1:9" x14ac:dyDescent="0.3">
      <c r="A539">
        <v>1066568183</v>
      </c>
      <c r="B539" t="s">
        <v>663</v>
      </c>
      <c r="C539" t="s">
        <v>611</v>
      </c>
      <c r="D539" t="s">
        <v>66</v>
      </c>
      <c r="E539" t="s">
        <v>67</v>
      </c>
    </row>
    <row r="540" spans="1:9" x14ac:dyDescent="0.3">
      <c r="A540">
        <v>78746825</v>
      </c>
      <c r="B540" t="s">
        <v>664</v>
      </c>
      <c r="C540" t="s">
        <v>611</v>
      </c>
      <c r="D540" t="s">
        <v>85</v>
      </c>
      <c r="E540" t="s">
        <v>67</v>
      </c>
    </row>
    <row r="541" spans="1:9" x14ac:dyDescent="0.3">
      <c r="A541">
        <v>1007824566</v>
      </c>
      <c r="B541" t="s">
        <v>665</v>
      </c>
      <c r="C541" t="s">
        <v>611</v>
      </c>
      <c r="D541" t="s">
        <v>85</v>
      </c>
      <c r="E541" t="s">
        <v>67</v>
      </c>
    </row>
    <row r="542" spans="1:9" x14ac:dyDescent="0.3">
      <c r="A542">
        <v>1007625578</v>
      </c>
      <c r="B542" t="s">
        <v>666</v>
      </c>
      <c r="C542" t="s">
        <v>45</v>
      </c>
      <c r="D542" t="s">
        <v>50</v>
      </c>
      <c r="E542" t="s">
        <v>47</v>
      </c>
    </row>
    <row r="543" spans="1:9" x14ac:dyDescent="0.3">
      <c r="A543">
        <v>1038139523</v>
      </c>
      <c r="B543" t="s">
        <v>233</v>
      </c>
      <c r="C543" t="s">
        <v>611</v>
      </c>
      <c r="D543" t="s">
        <v>66</v>
      </c>
      <c r="E543" t="s">
        <v>67</v>
      </c>
    </row>
    <row r="544" spans="1:9" x14ac:dyDescent="0.3">
      <c r="A544">
        <v>1063171502</v>
      </c>
      <c r="B544" t="s">
        <v>667</v>
      </c>
      <c r="C544" t="s">
        <v>611</v>
      </c>
      <c r="D544" t="s">
        <v>46</v>
      </c>
      <c r="E544" t="s">
        <v>47</v>
      </c>
      <c r="I544" s="70"/>
    </row>
    <row r="545" spans="1:5" x14ac:dyDescent="0.3">
      <c r="A545">
        <v>1041254179</v>
      </c>
      <c r="B545" t="s">
        <v>668</v>
      </c>
      <c r="C545" t="s">
        <v>611</v>
      </c>
      <c r="D545" t="s">
        <v>251</v>
      </c>
      <c r="E545" t="s">
        <v>47</v>
      </c>
    </row>
    <row r="546" spans="1:5" x14ac:dyDescent="0.3">
      <c r="A546">
        <v>1045434815</v>
      </c>
      <c r="B546" t="s">
        <v>669</v>
      </c>
      <c r="C546" t="s">
        <v>611</v>
      </c>
      <c r="D546" t="s">
        <v>97</v>
      </c>
      <c r="E546" t="s">
        <v>67</v>
      </c>
    </row>
    <row r="547" spans="1:5" x14ac:dyDescent="0.3">
      <c r="A547">
        <v>1040353903</v>
      </c>
      <c r="B547" t="s">
        <v>670</v>
      </c>
      <c r="C547" t="s">
        <v>52</v>
      </c>
      <c r="D547" t="s">
        <v>50</v>
      </c>
      <c r="E547" t="s">
        <v>671</v>
      </c>
    </row>
    <row r="548" spans="1:5" x14ac:dyDescent="0.3">
      <c r="A548">
        <v>8056785</v>
      </c>
      <c r="B548" t="s">
        <v>672</v>
      </c>
      <c r="C548" t="s">
        <v>611</v>
      </c>
      <c r="D548" t="s">
        <v>66</v>
      </c>
      <c r="E548" t="s">
        <v>67</v>
      </c>
    </row>
    <row r="549" spans="1:5" x14ac:dyDescent="0.3">
      <c r="A549">
        <v>1049617665</v>
      </c>
      <c r="B549" t="s">
        <v>673</v>
      </c>
      <c r="C549" t="s">
        <v>52</v>
      </c>
      <c r="D549" t="s">
        <v>50</v>
      </c>
      <c r="E549" t="s">
        <v>671</v>
      </c>
    </row>
    <row r="550" spans="1:5" x14ac:dyDescent="0.3">
      <c r="A550">
        <v>1028028173</v>
      </c>
      <c r="B550" t="s">
        <v>674</v>
      </c>
      <c r="C550" t="s">
        <v>45</v>
      </c>
      <c r="D550" t="s">
        <v>46</v>
      </c>
      <c r="E550" t="s">
        <v>47</v>
      </c>
    </row>
    <row r="551" spans="1:5" x14ac:dyDescent="0.3">
      <c r="A551">
        <v>1001035570</v>
      </c>
      <c r="B551" t="s">
        <v>675</v>
      </c>
      <c r="C551" t="s">
        <v>45</v>
      </c>
      <c r="D551" t="s">
        <v>46</v>
      </c>
      <c r="E551" t="s">
        <v>47</v>
      </c>
    </row>
    <row r="552" spans="1:5" x14ac:dyDescent="0.3">
      <c r="A552">
        <v>1000538732</v>
      </c>
      <c r="B552" t="s">
        <v>676</v>
      </c>
      <c r="C552" t="s">
        <v>45</v>
      </c>
      <c r="D552" t="s">
        <v>50</v>
      </c>
      <c r="E552" t="s">
        <v>671</v>
      </c>
    </row>
    <row r="553" spans="1:5" x14ac:dyDescent="0.3">
      <c r="A553">
        <v>1027960960</v>
      </c>
      <c r="B553" t="s">
        <v>677</v>
      </c>
      <c r="C553" t="s">
        <v>45</v>
      </c>
      <c r="D553" t="s">
        <v>131</v>
      </c>
      <c r="E553" t="s">
        <v>671</v>
      </c>
    </row>
    <row r="554" spans="1:5" x14ac:dyDescent="0.3">
      <c r="A554">
        <v>1032252779</v>
      </c>
      <c r="B554" t="s">
        <v>678</v>
      </c>
      <c r="C554" t="s">
        <v>45</v>
      </c>
      <c r="D554" t="s">
        <v>71</v>
      </c>
      <c r="E554" t="s">
        <v>67</v>
      </c>
    </row>
    <row r="555" spans="1:5" x14ac:dyDescent="0.3">
      <c r="A555">
        <v>1001548681</v>
      </c>
      <c r="B555" t="s">
        <v>679</v>
      </c>
      <c r="C555" t="s">
        <v>45</v>
      </c>
      <c r="D555" t="s">
        <v>74</v>
      </c>
      <c r="E555" t="s">
        <v>67</v>
      </c>
    </row>
    <row r="556" spans="1:5" x14ac:dyDescent="0.3">
      <c r="A556">
        <v>1193296848</v>
      </c>
      <c r="B556" t="s">
        <v>680</v>
      </c>
      <c r="C556" t="s">
        <v>45</v>
      </c>
      <c r="D556" t="s">
        <v>50</v>
      </c>
      <c r="E556" t="s">
        <v>671</v>
      </c>
    </row>
    <row r="557" spans="1:5" x14ac:dyDescent="0.3">
      <c r="A557">
        <v>1001024379</v>
      </c>
      <c r="B557" t="s">
        <v>681</v>
      </c>
      <c r="C557" t="s">
        <v>45</v>
      </c>
      <c r="D557" t="s">
        <v>46</v>
      </c>
      <c r="E557" t="s">
        <v>47</v>
      </c>
    </row>
    <row r="558" spans="1:5" x14ac:dyDescent="0.3">
      <c r="A558">
        <v>1007494585</v>
      </c>
      <c r="B558" t="s">
        <v>682</v>
      </c>
      <c r="C558" t="s">
        <v>611</v>
      </c>
      <c r="D558" t="s">
        <v>85</v>
      </c>
      <c r="E558" t="s">
        <v>67</v>
      </c>
    </row>
    <row r="559" spans="1:5" x14ac:dyDescent="0.3">
      <c r="A559">
        <v>1038479534</v>
      </c>
      <c r="B559" t="s">
        <v>683</v>
      </c>
      <c r="C559" t="s">
        <v>611</v>
      </c>
      <c r="D559" t="s">
        <v>74</v>
      </c>
      <c r="E559" t="s">
        <v>67</v>
      </c>
    </row>
    <row r="560" spans="1:5" x14ac:dyDescent="0.3">
      <c r="A560">
        <v>1038476950</v>
      </c>
      <c r="B560" t="s">
        <v>235</v>
      </c>
      <c r="C560" t="s">
        <v>45</v>
      </c>
      <c r="D560" t="s">
        <v>74</v>
      </c>
      <c r="E560" t="s">
        <v>67</v>
      </c>
    </row>
    <row r="561" spans="1:7" x14ac:dyDescent="0.3">
      <c r="A561">
        <v>1007259601</v>
      </c>
      <c r="B561" t="s">
        <v>610</v>
      </c>
      <c r="C561" t="s">
        <v>611</v>
      </c>
      <c r="D561" t="s">
        <v>66</v>
      </c>
      <c r="E561" t="s">
        <v>67</v>
      </c>
    </row>
    <row r="562" spans="1:7" x14ac:dyDescent="0.3">
      <c r="A562">
        <v>94406766</v>
      </c>
      <c r="B562" t="s">
        <v>684</v>
      </c>
      <c r="C562" t="s">
        <v>52</v>
      </c>
      <c r="D562" t="s">
        <v>50</v>
      </c>
      <c r="E562" t="s">
        <v>47</v>
      </c>
    </row>
    <row r="563" spans="1:7" x14ac:dyDescent="0.3">
      <c r="A563">
        <v>1033369205</v>
      </c>
      <c r="B563" t="s">
        <v>685</v>
      </c>
      <c r="C563" t="s">
        <v>611</v>
      </c>
      <c r="D563" t="s">
        <v>46</v>
      </c>
      <c r="E563" t="s">
        <v>47</v>
      </c>
      <c r="G563" s="50"/>
    </row>
    <row r="564" spans="1:7" x14ac:dyDescent="0.3">
      <c r="A564">
        <v>1027957605</v>
      </c>
      <c r="B564" t="s">
        <v>686</v>
      </c>
      <c r="C564" t="s">
        <v>611</v>
      </c>
      <c r="D564" t="s">
        <v>46</v>
      </c>
      <c r="E564" t="s">
        <v>47</v>
      </c>
    </row>
    <row r="565" spans="1:7" x14ac:dyDescent="0.3">
      <c r="A565">
        <v>1001154594</v>
      </c>
      <c r="B565" t="s">
        <v>687</v>
      </c>
      <c r="C565" t="s">
        <v>611</v>
      </c>
      <c r="D565" t="s">
        <v>46</v>
      </c>
      <c r="E565" t="s">
        <v>47</v>
      </c>
    </row>
    <row r="566" spans="1:7" x14ac:dyDescent="0.3">
      <c r="A566">
        <v>1038136097</v>
      </c>
      <c r="B566" t="s">
        <v>688</v>
      </c>
      <c r="C566" t="s">
        <v>611</v>
      </c>
      <c r="D566" t="s">
        <v>66</v>
      </c>
      <c r="E566" t="s">
        <v>67</v>
      </c>
    </row>
    <row r="567" spans="1:7" x14ac:dyDescent="0.3">
      <c r="A567">
        <v>4547488</v>
      </c>
      <c r="B567" t="s">
        <v>689</v>
      </c>
      <c r="C567" t="s">
        <v>611</v>
      </c>
      <c r="D567" t="s">
        <v>71</v>
      </c>
      <c r="E567" t="s">
        <v>67</v>
      </c>
    </row>
    <row r="568" spans="1:7" x14ac:dyDescent="0.3">
      <c r="A568">
        <v>1193296848</v>
      </c>
      <c r="B568" t="s">
        <v>680</v>
      </c>
      <c r="C568" t="s">
        <v>45</v>
      </c>
      <c r="D568" t="s">
        <v>50</v>
      </c>
      <c r="E568" t="s">
        <v>671</v>
      </c>
    </row>
    <row r="569" spans="1:7" x14ac:dyDescent="0.3">
      <c r="A569">
        <v>1045492196</v>
      </c>
      <c r="B569" t="s">
        <v>690</v>
      </c>
      <c r="C569" t="s">
        <v>611</v>
      </c>
      <c r="D569" t="s">
        <v>50</v>
      </c>
      <c r="E569" t="s">
        <v>671</v>
      </c>
    </row>
    <row r="570" spans="1:7" x14ac:dyDescent="0.3">
      <c r="A570">
        <v>1005677913</v>
      </c>
      <c r="B570" t="s">
        <v>691</v>
      </c>
      <c r="C570" t="s">
        <v>611</v>
      </c>
      <c r="D570" t="s">
        <v>50</v>
      </c>
      <c r="E570" t="s">
        <v>671</v>
      </c>
    </row>
    <row r="571" spans="1:7" x14ac:dyDescent="0.3">
      <c r="A571">
        <v>1028042235</v>
      </c>
      <c r="B571" t="s">
        <v>692</v>
      </c>
      <c r="C571" t="s">
        <v>611</v>
      </c>
      <c r="D571" t="s">
        <v>46</v>
      </c>
      <c r="E571" t="s">
        <v>47</v>
      </c>
    </row>
    <row r="572" spans="1:7" x14ac:dyDescent="0.3">
      <c r="A572">
        <v>1027943782</v>
      </c>
      <c r="B572" t="s">
        <v>795</v>
      </c>
      <c r="C572" t="s">
        <v>611</v>
      </c>
      <c r="D572" t="s">
        <v>46</v>
      </c>
      <c r="E572" t="s">
        <v>47</v>
      </c>
    </row>
    <row r="573" spans="1:7" x14ac:dyDescent="0.3">
      <c r="A573">
        <v>43890754</v>
      </c>
      <c r="B573" t="s">
        <v>693</v>
      </c>
      <c r="C573" t="s">
        <v>611</v>
      </c>
      <c r="D573" t="s">
        <v>74</v>
      </c>
      <c r="E573" t="s">
        <v>67</v>
      </c>
    </row>
    <row r="574" spans="1:7" x14ac:dyDescent="0.3">
      <c r="A574">
        <v>1075094596</v>
      </c>
      <c r="B574" t="s">
        <v>694</v>
      </c>
      <c r="C574" t="s">
        <v>611</v>
      </c>
      <c r="D574" t="s">
        <v>46</v>
      </c>
      <c r="E574" t="s">
        <v>47</v>
      </c>
    </row>
    <row r="575" spans="1:7" x14ac:dyDescent="0.3">
      <c r="A575">
        <v>1001154020</v>
      </c>
      <c r="B575" t="s">
        <v>695</v>
      </c>
      <c r="C575" t="s">
        <v>611</v>
      </c>
      <c r="D575" t="s">
        <v>46</v>
      </c>
      <c r="E575" t="s">
        <v>47</v>
      </c>
    </row>
    <row r="576" spans="1:7" x14ac:dyDescent="0.3">
      <c r="A576">
        <v>1001669579</v>
      </c>
      <c r="B576" t="s">
        <v>696</v>
      </c>
      <c r="C576" t="s">
        <v>611</v>
      </c>
      <c r="D576" t="s">
        <v>255</v>
      </c>
      <c r="E576" t="s">
        <v>47</v>
      </c>
    </row>
    <row r="577" spans="1:5" x14ac:dyDescent="0.3">
      <c r="A577">
        <v>1152716031</v>
      </c>
      <c r="B577" t="s">
        <v>697</v>
      </c>
      <c r="C577" t="s">
        <v>611</v>
      </c>
      <c r="D577" t="s">
        <v>66</v>
      </c>
      <c r="E577" t="s">
        <v>67</v>
      </c>
    </row>
    <row r="578" spans="1:5" x14ac:dyDescent="0.3">
      <c r="A578">
        <v>1045142474</v>
      </c>
      <c r="B578" t="s">
        <v>698</v>
      </c>
      <c r="C578" t="s">
        <v>611</v>
      </c>
      <c r="D578" t="s">
        <v>85</v>
      </c>
      <c r="E578" t="s">
        <v>67</v>
      </c>
    </row>
    <row r="579" spans="1:5" x14ac:dyDescent="0.3">
      <c r="A579">
        <v>1038106412</v>
      </c>
      <c r="B579" t="s">
        <v>214</v>
      </c>
      <c r="C579" t="s">
        <v>611</v>
      </c>
      <c r="D579" t="s">
        <v>66</v>
      </c>
      <c r="E579" t="s">
        <v>67</v>
      </c>
    </row>
    <row r="580" spans="1:5" x14ac:dyDescent="0.3">
      <c r="A580">
        <v>1038141324</v>
      </c>
      <c r="B580" t="s">
        <v>699</v>
      </c>
      <c r="C580" t="s">
        <v>611</v>
      </c>
      <c r="D580" t="s">
        <v>66</v>
      </c>
      <c r="E580" t="s">
        <v>67</v>
      </c>
    </row>
    <row r="581" spans="1:5" x14ac:dyDescent="0.3">
      <c r="A581">
        <v>1020456214</v>
      </c>
      <c r="B581" t="s">
        <v>700</v>
      </c>
      <c r="C581" t="s">
        <v>52</v>
      </c>
      <c r="D581" t="s">
        <v>22</v>
      </c>
      <c r="E581" t="s">
        <v>47</v>
      </c>
    </row>
    <row r="582" spans="1:5" x14ac:dyDescent="0.3">
      <c r="A582">
        <v>1018342971</v>
      </c>
      <c r="B582" t="s">
        <v>701</v>
      </c>
      <c r="C582" t="s">
        <v>611</v>
      </c>
      <c r="D582" t="s">
        <v>85</v>
      </c>
      <c r="E582" t="s">
        <v>67</v>
      </c>
    </row>
    <row r="583" spans="1:5" x14ac:dyDescent="0.3">
      <c r="A583">
        <v>1007881654</v>
      </c>
      <c r="B583" t="s">
        <v>702</v>
      </c>
      <c r="C583" t="s">
        <v>611</v>
      </c>
      <c r="D583" t="s">
        <v>85</v>
      </c>
      <c r="E583" t="s">
        <v>67</v>
      </c>
    </row>
    <row r="584" spans="1:5" x14ac:dyDescent="0.3">
      <c r="A584">
        <v>1075097954</v>
      </c>
      <c r="B584" t="s">
        <v>703</v>
      </c>
      <c r="C584" t="s">
        <v>611</v>
      </c>
      <c r="D584" t="s">
        <v>46</v>
      </c>
      <c r="E584" t="s">
        <v>47</v>
      </c>
    </row>
    <row r="585" spans="1:5" x14ac:dyDescent="0.3">
      <c r="A585">
        <v>1035236589</v>
      </c>
      <c r="B585" t="s">
        <v>704</v>
      </c>
      <c r="C585" t="s">
        <v>611</v>
      </c>
      <c r="D585" t="s">
        <v>71</v>
      </c>
      <c r="E585" t="s">
        <v>67</v>
      </c>
    </row>
    <row r="586" spans="1:5" x14ac:dyDescent="0.3">
      <c r="A586">
        <v>1152935006</v>
      </c>
      <c r="B586" t="s">
        <v>705</v>
      </c>
      <c r="C586" t="s">
        <v>611</v>
      </c>
      <c r="D586" t="s">
        <v>46</v>
      </c>
      <c r="E586" t="s">
        <v>47</v>
      </c>
    </row>
    <row r="587" spans="1:5" x14ac:dyDescent="0.3">
      <c r="A587">
        <v>1038137014</v>
      </c>
      <c r="B587" t="s">
        <v>706</v>
      </c>
      <c r="C587" t="s">
        <v>611</v>
      </c>
      <c r="D587" t="s">
        <v>66</v>
      </c>
      <c r="E587" t="s">
        <v>67</v>
      </c>
    </row>
    <row r="588" spans="1:5" x14ac:dyDescent="0.3">
      <c r="A588">
        <v>1038101361</v>
      </c>
      <c r="B588" t="s">
        <v>707</v>
      </c>
      <c r="C588" t="s">
        <v>611</v>
      </c>
      <c r="D588" t="s">
        <v>66</v>
      </c>
      <c r="E588" t="s">
        <v>67</v>
      </c>
    </row>
    <row r="589" spans="1:5" x14ac:dyDescent="0.3">
      <c r="A589">
        <v>1038122821</v>
      </c>
      <c r="B589" t="s">
        <v>708</v>
      </c>
      <c r="C589" t="s">
        <v>611</v>
      </c>
      <c r="D589" t="s">
        <v>66</v>
      </c>
      <c r="E589" t="s">
        <v>67</v>
      </c>
    </row>
    <row r="590" spans="1:5" x14ac:dyDescent="0.3">
      <c r="A590">
        <v>1038103400</v>
      </c>
      <c r="B590" t="s">
        <v>709</v>
      </c>
      <c r="C590" t="s">
        <v>611</v>
      </c>
      <c r="D590" t="s">
        <v>66</v>
      </c>
      <c r="E590" t="s">
        <v>67</v>
      </c>
    </row>
    <row r="591" spans="1:5" x14ac:dyDescent="0.3">
      <c r="A591">
        <v>1148945139</v>
      </c>
      <c r="B591" t="s">
        <v>710</v>
      </c>
      <c r="C591" t="s">
        <v>611</v>
      </c>
      <c r="D591" t="s">
        <v>193</v>
      </c>
      <c r="E591" t="s">
        <v>47</v>
      </c>
    </row>
    <row r="592" spans="1:5" x14ac:dyDescent="0.3">
      <c r="A592">
        <v>1007369967</v>
      </c>
      <c r="B592" t="s">
        <v>711</v>
      </c>
      <c r="C592" t="s">
        <v>611</v>
      </c>
      <c r="D592" t="s">
        <v>50</v>
      </c>
      <c r="E592" t="s">
        <v>671</v>
      </c>
    </row>
    <row r="593" spans="1:5" x14ac:dyDescent="0.3">
      <c r="A593">
        <v>1028004455</v>
      </c>
      <c r="B593" t="s">
        <v>712</v>
      </c>
      <c r="C593" t="s">
        <v>52</v>
      </c>
      <c r="D593" t="s">
        <v>50</v>
      </c>
      <c r="E593" t="s">
        <v>671</v>
      </c>
    </row>
    <row r="594" spans="1:5" x14ac:dyDescent="0.3">
      <c r="A594">
        <v>1038140322</v>
      </c>
      <c r="B594" t="s">
        <v>713</v>
      </c>
      <c r="C594" t="s">
        <v>611</v>
      </c>
      <c r="D594" t="s">
        <v>66</v>
      </c>
      <c r="E594" t="s">
        <v>67</v>
      </c>
    </row>
    <row r="595" spans="1:5" x14ac:dyDescent="0.3">
      <c r="A595">
        <v>71949794</v>
      </c>
      <c r="B595" t="s">
        <v>714</v>
      </c>
      <c r="C595" t="s">
        <v>52</v>
      </c>
      <c r="D595" t="s">
        <v>77</v>
      </c>
      <c r="E595" t="s">
        <v>47</v>
      </c>
    </row>
    <row r="596" spans="1:5" x14ac:dyDescent="0.3">
      <c r="A596">
        <v>1038126501</v>
      </c>
      <c r="B596" t="s">
        <v>715</v>
      </c>
      <c r="C596" t="s">
        <v>537</v>
      </c>
      <c r="D596" t="s">
        <v>66</v>
      </c>
      <c r="E596" t="s">
        <v>67</v>
      </c>
    </row>
    <row r="597" spans="1:5" x14ac:dyDescent="0.3">
      <c r="A597">
        <v>1032261562</v>
      </c>
      <c r="B597" t="s">
        <v>716</v>
      </c>
      <c r="C597" t="s">
        <v>611</v>
      </c>
      <c r="D597" t="s">
        <v>71</v>
      </c>
      <c r="E597" t="s">
        <v>67</v>
      </c>
    </row>
    <row r="598" spans="1:5" x14ac:dyDescent="0.3">
      <c r="A598">
        <v>1007533477</v>
      </c>
      <c r="B598" t="s">
        <v>717</v>
      </c>
      <c r="C598" t="s">
        <v>611</v>
      </c>
      <c r="D598" t="s">
        <v>85</v>
      </c>
      <c r="E598" t="s">
        <v>67</v>
      </c>
    </row>
    <row r="599" spans="1:5" x14ac:dyDescent="0.3">
      <c r="A599">
        <v>1001024081</v>
      </c>
      <c r="B599" t="s">
        <v>718</v>
      </c>
      <c r="C599" t="s">
        <v>45</v>
      </c>
      <c r="D599" t="s">
        <v>50</v>
      </c>
      <c r="E599" t="s">
        <v>671</v>
      </c>
    </row>
    <row r="600" spans="1:5" x14ac:dyDescent="0.3">
      <c r="A600">
        <v>1001589021</v>
      </c>
      <c r="B600" t="s">
        <v>719</v>
      </c>
      <c r="C600" t="s">
        <v>52</v>
      </c>
      <c r="D600" t="s">
        <v>77</v>
      </c>
      <c r="E600" t="s">
        <v>47</v>
      </c>
    </row>
    <row r="601" spans="1:5" x14ac:dyDescent="0.3">
      <c r="A601">
        <v>1066527992</v>
      </c>
      <c r="B601" t="s">
        <v>720</v>
      </c>
      <c r="C601" t="s">
        <v>52</v>
      </c>
      <c r="D601" t="s">
        <v>66</v>
      </c>
      <c r="E601" t="s">
        <v>67</v>
      </c>
    </row>
    <row r="602" spans="1:5" x14ac:dyDescent="0.3">
      <c r="A602">
        <v>1027940229</v>
      </c>
      <c r="B602" t="s">
        <v>721</v>
      </c>
      <c r="C602" t="s">
        <v>611</v>
      </c>
      <c r="D602" t="s">
        <v>46</v>
      </c>
      <c r="E602" t="s">
        <v>47</v>
      </c>
    </row>
    <row r="603" spans="1:5" x14ac:dyDescent="0.3">
      <c r="A603">
        <v>1028001639</v>
      </c>
      <c r="B603" t="s">
        <v>722</v>
      </c>
      <c r="C603" t="s">
        <v>52</v>
      </c>
      <c r="D603" t="s">
        <v>50</v>
      </c>
      <c r="E603" t="s">
        <v>671</v>
      </c>
    </row>
    <row r="604" spans="1:5" x14ac:dyDescent="0.3">
      <c r="A604">
        <v>1007815840</v>
      </c>
      <c r="B604" t="s">
        <v>723</v>
      </c>
      <c r="C604" t="s">
        <v>45</v>
      </c>
      <c r="D604" t="s">
        <v>50</v>
      </c>
      <c r="E604" t="s">
        <v>671</v>
      </c>
    </row>
    <row r="605" spans="1:5" x14ac:dyDescent="0.3">
      <c r="A605">
        <v>1001153635</v>
      </c>
      <c r="B605" t="s">
        <v>724</v>
      </c>
      <c r="C605" t="s">
        <v>45</v>
      </c>
      <c r="D605" t="s">
        <v>46</v>
      </c>
      <c r="E605" t="s">
        <v>47</v>
      </c>
    </row>
    <row r="606" spans="1:5" x14ac:dyDescent="0.3">
      <c r="A606">
        <v>10887490</v>
      </c>
      <c r="B606" t="s">
        <v>725</v>
      </c>
      <c r="C606" t="s">
        <v>611</v>
      </c>
      <c r="D606" t="s">
        <v>22</v>
      </c>
      <c r="E606" t="s">
        <v>47</v>
      </c>
    </row>
    <row r="607" spans="1:5" x14ac:dyDescent="0.3">
      <c r="A607">
        <v>8058456</v>
      </c>
      <c r="B607" t="s">
        <v>726</v>
      </c>
      <c r="C607" t="s">
        <v>611</v>
      </c>
      <c r="D607" t="s">
        <v>66</v>
      </c>
      <c r="E607" t="s">
        <v>67</v>
      </c>
    </row>
    <row r="608" spans="1:5" x14ac:dyDescent="0.3">
      <c r="A608">
        <v>1028020019</v>
      </c>
      <c r="B608" t="s">
        <v>727</v>
      </c>
      <c r="C608" t="s">
        <v>611</v>
      </c>
      <c r="D608" t="s">
        <v>46</v>
      </c>
      <c r="E608" t="s">
        <v>47</v>
      </c>
    </row>
    <row r="609" spans="1:5" x14ac:dyDescent="0.3">
      <c r="A609">
        <v>1038646093</v>
      </c>
      <c r="B609" t="s">
        <v>728</v>
      </c>
      <c r="C609" t="s">
        <v>611</v>
      </c>
      <c r="D609" t="s">
        <v>66</v>
      </c>
      <c r="E609" t="s">
        <v>67</v>
      </c>
    </row>
    <row r="610" spans="1:5" x14ac:dyDescent="0.3">
      <c r="A610">
        <v>1027954342</v>
      </c>
      <c r="B610" t="s">
        <v>729</v>
      </c>
      <c r="C610" t="s">
        <v>52</v>
      </c>
      <c r="D610" t="s">
        <v>50</v>
      </c>
      <c r="E610" t="s">
        <v>47</v>
      </c>
    </row>
    <row r="611" spans="1:5" x14ac:dyDescent="0.3">
      <c r="A611">
        <v>71240662</v>
      </c>
      <c r="B611" t="s">
        <v>730</v>
      </c>
      <c r="C611" t="s">
        <v>52</v>
      </c>
      <c r="D611" t="s">
        <v>46</v>
      </c>
      <c r="E611" t="s">
        <v>47</v>
      </c>
    </row>
    <row r="612" spans="1:5" x14ac:dyDescent="0.3">
      <c r="A612">
        <v>1001033562</v>
      </c>
      <c r="B612" t="s">
        <v>731</v>
      </c>
      <c r="C612" t="s">
        <v>611</v>
      </c>
      <c r="D612" t="s">
        <v>46</v>
      </c>
      <c r="E612" t="s">
        <v>47</v>
      </c>
    </row>
    <row r="613" spans="1:5" x14ac:dyDescent="0.3">
      <c r="A613">
        <v>1007815806</v>
      </c>
      <c r="B613" t="s">
        <v>732</v>
      </c>
      <c r="C613" t="s">
        <v>611</v>
      </c>
      <c r="D613" t="s">
        <v>50</v>
      </c>
      <c r="E613" t="s">
        <v>47</v>
      </c>
    </row>
    <row r="614" spans="1:5" x14ac:dyDescent="0.3">
      <c r="A614">
        <v>1007636842</v>
      </c>
      <c r="B614" t="s">
        <v>733</v>
      </c>
      <c r="C614" t="s">
        <v>611</v>
      </c>
      <c r="D614" t="s">
        <v>251</v>
      </c>
      <c r="E614" t="s">
        <v>47</v>
      </c>
    </row>
    <row r="615" spans="1:5" x14ac:dyDescent="0.3">
      <c r="A615">
        <v>1128470943</v>
      </c>
      <c r="B615" t="s">
        <v>734</v>
      </c>
      <c r="C615" t="s">
        <v>611</v>
      </c>
      <c r="D615" t="s">
        <v>46</v>
      </c>
      <c r="E615" t="s">
        <v>47</v>
      </c>
    </row>
    <row r="616" spans="1:5" x14ac:dyDescent="0.3">
      <c r="A616">
        <v>1041264503</v>
      </c>
      <c r="B616" t="s">
        <v>735</v>
      </c>
      <c r="C616" t="s">
        <v>45</v>
      </c>
      <c r="D616" t="s">
        <v>251</v>
      </c>
      <c r="E616" t="s">
        <v>47</v>
      </c>
    </row>
    <row r="617" spans="1:5" x14ac:dyDescent="0.3">
      <c r="A617">
        <v>1027940627</v>
      </c>
      <c r="B617" t="s">
        <v>736</v>
      </c>
      <c r="C617" t="s">
        <v>45</v>
      </c>
      <c r="D617" t="s">
        <v>46</v>
      </c>
      <c r="E617" t="s">
        <v>47</v>
      </c>
    </row>
    <row r="618" spans="1:5" x14ac:dyDescent="0.3">
      <c r="A618">
        <v>1027966651</v>
      </c>
      <c r="B618" t="s">
        <v>737</v>
      </c>
      <c r="C618" t="s">
        <v>611</v>
      </c>
      <c r="D618" t="s">
        <v>46</v>
      </c>
      <c r="E618" t="s">
        <v>47</v>
      </c>
    </row>
    <row r="619" spans="1:5" x14ac:dyDescent="0.3">
      <c r="A619">
        <v>1045496336</v>
      </c>
      <c r="B619" t="s">
        <v>738</v>
      </c>
      <c r="C619" t="s">
        <v>45</v>
      </c>
      <c r="D619" t="s">
        <v>50</v>
      </c>
      <c r="E619" t="s">
        <v>47</v>
      </c>
    </row>
    <row r="620" spans="1:5" x14ac:dyDescent="0.3">
      <c r="A620">
        <v>1035640947</v>
      </c>
      <c r="B620" t="s">
        <v>739</v>
      </c>
      <c r="C620" t="s">
        <v>45</v>
      </c>
      <c r="D620" t="s">
        <v>251</v>
      </c>
      <c r="E620" t="s">
        <v>47</v>
      </c>
    </row>
    <row r="621" spans="1:5" x14ac:dyDescent="0.3">
      <c r="A621">
        <v>1038129200</v>
      </c>
      <c r="B621" t="s">
        <v>740</v>
      </c>
      <c r="C621" t="s">
        <v>611</v>
      </c>
      <c r="D621" t="s">
        <v>66</v>
      </c>
      <c r="E621" t="s">
        <v>67</v>
      </c>
    </row>
    <row r="622" spans="1:5" x14ac:dyDescent="0.3">
      <c r="A622">
        <v>1027947607</v>
      </c>
      <c r="B622" t="s">
        <v>741</v>
      </c>
      <c r="C622" t="s">
        <v>45</v>
      </c>
      <c r="D622" t="s">
        <v>46</v>
      </c>
      <c r="E622" t="s">
        <v>47</v>
      </c>
    </row>
    <row r="623" spans="1:5" x14ac:dyDescent="0.3">
      <c r="A623">
        <v>1028030415</v>
      </c>
      <c r="B623" t="s">
        <v>742</v>
      </c>
      <c r="C623" t="s">
        <v>611</v>
      </c>
      <c r="D623" t="s">
        <v>46</v>
      </c>
      <c r="E623" t="s">
        <v>47</v>
      </c>
    </row>
    <row r="624" spans="1:5" x14ac:dyDescent="0.3">
      <c r="A624">
        <v>1038098907</v>
      </c>
      <c r="B624" t="s">
        <v>743</v>
      </c>
      <c r="C624" t="s">
        <v>611</v>
      </c>
      <c r="D624" t="s">
        <v>66</v>
      </c>
      <c r="E624" t="s">
        <v>67</v>
      </c>
    </row>
    <row r="625" spans="1:6" x14ac:dyDescent="0.3">
      <c r="A625">
        <v>1028002725</v>
      </c>
      <c r="B625" t="s">
        <v>744</v>
      </c>
      <c r="C625" t="s">
        <v>611</v>
      </c>
      <c r="D625" t="s">
        <v>46</v>
      </c>
      <c r="E625" t="s">
        <v>47</v>
      </c>
    </row>
    <row r="626" spans="1:6" x14ac:dyDescent="0.3">
      <c r="A626">
        <v>1001153635</v>
      </c>
      <c r="B626" t="s">
        <v>724</v>
      </c>
      <c r="C626" t="s">
        <v>611</v>
      </c>
      <c r="D626" t="s">
        <v>46</v>
      </c>
      <c r="E626" t="s">
        <v>47</v>
      </c>
    </row>
    <row r="627" spans="1:6" x14ac:dyDescent="0.3">
      <c r="A627">
        <v>1028044534</v>
      </c>
      <c r="B627" t="s">
        <v>745</v>
      </c>
      <c r="C627" t="s">
        <v>52</v>
      </c>
      <c r="D627" t="s">
        <v>50</v>
      </c>
      <c r="E627" t="s">
        <v>47</v>
      </c>
    </row>
    <row r="628" spans="1:6" x14ac:dyDescent="0.3">
      <c r="A628">
        <v>1007934601</v>
      </c>
      <c r="B628" t="s">
        <v>746</v>
      </c>
      <c r="C628" t="s">
        <v>52</v>
      </c>
      <c r="D628" t="s">
        <v>50</v>
      </c>
      <c r="E628" t="s">
        <v>47</v>
      </c>
    </row>
    <row r="629" spans="1:6" x14ac:dyDescent="0.3">
      <c r="A629">
        <v>1066180122</v>
      </c>
      <c r="B629" t="s">
        <v>747</v>
      </c>
      <c r="C629" t="s">
        <v>611</v>
      </c>
      <c r="D629" t="s">
        <v>50</v>
      </c>
      <c r="E629" t="s">
        <v>47</v>
      </c>
    </row>
    <row r="630" spans="1:6" x14ac:dyDescent="0.3">
      <c r="A630">
        <v>1001503377</v>
      </c>
      <c r="B630" t="s">
        <v>748</v>
      </c>
      <c r="C630" t="s">
        <v>611</v>
      </c>
      <c r="D630" t="s">
        <v>193</v>
      </c>
      <c r="E630" t="s">
        <v>47</v>
      </c>
    </row>
    <row r="631" spans="1:6" x14ac:dyDescent="0.3">
      <c r="A631">
        <v>1041257764</v>
      </c>
      <c r="B631" t="s">
        <v>749</v>
      </c>
      <c r="C631" t="s">
        <v>611</v>
      </c>
      <c r="D631" t="s">
        <v>251</v>
      </c>
      <c r="E631" t="s">
        <v>47</v>
      </c>
    </row>
    <row r="632" spans="1:6" x14ac:dyDescent="0.3">
      <c r="A632">
        <v>1193388754</v>
      </c>
      <c r="B632" t="s">
        <v>750</v>
      </c>
      <c r="C632" t="s">
        <v>611</v>
      </c>
      <c r="D632" t="s">
        <v>46</v>
      </c>
      <c r="E632" t="s">
        <v>47</v>
      </c>
    </row>
    <row r="633" spans="1:6" x14ac:dyDescent="0.3">
      <c r="A633">
        <v>1045526605</v>
      </c>
      <c r="B633" t="s">
        <v>751</v>
      </c>
      <c r="C633" t="s">
        <v>611</v>
      </c>
      <c r="D633" t="s">
        <v>50</v>
      </c>
      <c r="E633" t="s">
        <v>47</v>
      </c>
    </row>
    <row r="634" spans="1:6" x14ac:dyDescent="0.3">
      <c r="A634">
        <v>1007908521</v>
      </c>
      <c r="B634" t="s">
        <v>752</v>
      </c>
      <c r="C634" t="s">
        <v>611</v>
      </c>
      <c r="D634" t="s">
        <v>50</v>
      </c>
      <c r="E634" t="s">
        <v>47</v>
      </c>
    </row>
    <row r="635" spans="1:6" x14ac:dyDescent="0.3">
      <c r="A635">
        <v>1007690809</v>
      </c>
      <c r="B635" t="s">
        <v>753</v>
      </c>
      <c r="C635" t="s">
        <v>611</v>
      </c>
      <c r="D635" t="s">
        <v>50</v>
      </c>
      <c r="E635" t="s">
        <v>47</v>
      </c>
    </row>
    <row r="636" spans="1:6" x14ac:dyDescent="0.3">
      <c r="A636">
        <v>1007526201</v>
      </c>
      <c r="B636" t="s">
        <v>754</v>
      </c>
      <c r="C636" t="s">
        <v>755</v>
      </c>
      <c r="D636" t="s">
        <v>46</v>
      </c>
      <c r="E636" t="s">
        <v>47</v>
      </c>
    </row>
    <row r="637" spans="1:6" x14ac:dyDescent="0.3">
      <c r="A637">
        <v>1028010002</v>
      </c>
      <c r="B637" t="s">
        <v>756</v>
      </c>
      <c r="C637" t="s">
        <v>45</v>
      </c>
      <c r="D637" t="s">
        <v>46</v>
      </c>
      <c r="E637" t="s">
        <v>47</v>
      </c>
    </row>
    <row r="638" spans="1:6" x14ac:dyDescent="0.3">
      <c r="A638">
        <v>1001712149</v>
      </c>
      <c r="B638" t="s">
        <v>757</v>
      </c>
      <c r="C638" t="s">
        <v>611</v>
      </c>
      <c r="D638" t="s">
        <v>255</v>
      </c>
      <c r="E638" t="s">
        <v>47</v>
      </c>
      <c r="F638" s="50"/>
    </row>
    <row r="639" spans="1:6" x14ac:dyDescent="0.3">
      <c r="A639">
        <v>78746825</v>
      </c>
      <c r="B639" t="s">
        <v>664</v>
      </c>
      <c r="C639" t="s">
        <v>611</v>
      </c>
      <c r="D639" t="s">
        <v>85</v>
      </c>
      <c r="E639" t="s">
        <v>67</v>
      </c>
    </row>
    <row r="640" spans="1:6" x14ac:dyDescent="0.3">
      <c r="A640">
        <v>1040798763</v>
      </c>
      <c r="B640" t="s">
        <v>758</v>
      </c>
      <c r="C640" t="s">
        <v>52</v>
      </c>
      <c r="D640" t="s">
        <v>50</v>
      </c>
      <c r="E640" t="s">
        <v>47</v>
      </c>
    </row>
    <row r="641" spans="1:5" x14ac:dyDescent="0.3">
      <c r="A641">
        <v>1007623680</v>
      </c>
      <c r="B641" t="s">
        <v>759</v>
      </c>
      <c r="C641" t="s">
        <v>611</v>
      </c>
      <c r="D641" t="s">
        <v>193</v>
      </c>
      <c r="E641" t="s">
        <v>47</v>
      </c>
    </row>
    <row r="642" spans="1:5" x14ac:dyDescent="0.3">
      <c r="A642">
        <v>1037484300</v>
      </c>
      <c r="B642" t="s">
        <v>760</v>
      </c>
      <c r="C642" t="s">
        <v>611</v>
      </c>
      <c r="D642" t="s">
        <v>193</v>
      </c>
      <c r="E642" t="s">
        <v>47</v>
      </c>
    </row>
    <row r="643" spans="1:5" x14ac:dyDescent="0.3">
      <c r="A643">
        <v>1038109123</v>
      </c>
      <c r="B643" t="s">
        <v>761</v>
      </c>
      <c r="C643" t="s">
        <v>762</v>
      </c>
      <c r="D643" t="s">
        <v>66</v>
      </c>
      <c r="E643" t="s">
        <v>67</v>
      </c>
    </row>
    <row r="644" spans="1:5" x14ac:dyDescent="0.3">
      <c r="A644">
        <v>1045431406</v>
      </c>
      <c r="B644" t="s">
        <v>763</v>
      </c>
      <c r="C644" t="s">
        <v>611</v>
      </c>
      <c r="D644" t="s">
        <v>97</v>
      </c>
      <c r="E644" t="s">
        <v>67</v>
      </c>
    </row>
    <row r="645" spans="1:5" x14ac:dyDescent="0.3">
      <c r="A645">
        <v>1038112071</v>
      </c>
      <c r="B645" t="s">
        <v>764</v>
      </c>
      <c r="C645" t="s">
        <v>52</v>
      </c>
      <c r="D645" t="s">
        <v>66</v>
      </c>
      <c r="E645" t="s">
        <v>67</v>
      </c>
    </row>
    <row r="646" spans="1:5" x14ac:dyDescent="0.3">
      <c r="A646">
        <v>11032939</v>
      </c>
      <c r="B646" t="s">
        <v>765</v>
      </c>
      <c r="C646" t="s">
        <v>755</v>
      </c>
      <c r="D646" t="s">
        <v>22</v>
      </c>
      <c r="E646" t="s">
        <v>47</v>
      </c>
    </row>
    <row r="647" spans="1:5" x14ac:dyDescent="0.3">
      <c r="A647">
        <v>1003141167</v>
      </c>
      <c r="B647" t="s">
        <v>766</v>
      </c>
      <c r="C647" t="s">
        <v>611</v>
      </c>
      <c r="D647" t="s">
        <v>193</v>
      </c>
      <c r="E647" t="s">
        <v>47</v>
      </c>
    </row>
    <row r="648" spans="1:5" x14ac:dyDescent="0.3">
      <c r="A648">
        <v>1007501788</v>
      </c>
      <c r="B648" t="s">
        <v>767</v>
      </c>
      <c r="C648" t="s">
        <v>755</v>
      </c>
      <c r="D648" t="s">
        <v>66</v>
      </c>
      <c r="E648" t="s">
        <v>67</v>
      </c>
    </row>
    <row r="649" spans="1:5" x14ac:dyDescent="0.3">
      <c r="A649">
        <v>1038109123</v>
      </c>
      <c r="B649" t="s">
        <v>761</v>
      </c>
      <c r="C649" t="s">
        <v>768</v>
      </c>
      <c r="D649" t="s">
        <v>66</v>
      </c>
      <c r="E649" t="s">
        <v>67</v>
      </c>
    </row>
    <row r="650" spans="1:5" x14ac:dyDescent="0.3">
      <c r="A650">
        <v>1045429013</v>
      </c>
      <c r="B650" t="s">
        <v>769</v>
      </c>
      <c r="C650" t="s">
        <v>611</v>
      </c>
      <c r="D650" t="s">
        <v>97</v>
      </c>
      <c r="E650" t="s">
        <v>67</v>
      </c>
    </row>
    <row r="651" spans="1:5" x14ac:dyDescent="0.3">
      <c r="A651">
        <v>32375917</v>
      </c>
      <c r="B651" t="s">
        <v>770</v>
      </c>
      <c r="C651" t="s">
        <v>138</v>
      </c>
      <c r="D651" t="s">
        <v>97</v>
      </c>
      <c r="E651" t="s">
        <v>67</v>
      </c>
    </row>
    <row r="652" spans="1:5" x14ac:dyDescent="0.3">
      <c r="A652">
        <v>1027998357</v>
      </c>
      <c r="B652" t="s">
        <v>771</v>
      </c>
      <c r="C652" t="s">
        <v>45</v>
      </c>
      <c r="D652" t="s">
        <v>46</v>
      </c>
      <c r="E652" t="s">
        <v>47</v>
      </c>
    </row>
    <row r="653" spans="1:5" x14ac:dyDescent="0.3">
      <c r="A653">
        <v>1075097274</v>
      </c>
      <c r="B653" t="s">
        <v>772</v>
      </c>
      <c r="C653" t="s">
        <v>611</v>
      </c>
      <c r="D653" t="s">
        <v>50</v>
      </c>
      <c r="E653" t="s">
        <v>47</v>
      </c>
    </row>
    <row r="654" spans="1:5" x14ac:dyDescent="0.3">
      <c r="A654">
        <v>1045504100</v>
      </c>
      <c r="B654" t="s">
        <v>773</v>
      </c>
      <c r="C654" t="s">
        <v>611</v>
      </c>
      <c r="D654" t="s">
        <v>50</v>
      </c>
      <c r="E654" t="s">
        <v>47</v>
      </c>
    </row>
    <row r="655" spans="1:5" x14ac:dyDescent="0.3">
      <c r="A655">
        <v>1038476950</v>
      </c>
      <c r="B655" t="s">
        <v>235</v>
      </c>
      <c r="C655" t="s">
        <v>45</v>
      </c>
      <c r="D655" t="s">
        <v>74</v>
      </c>
      <c r="E655" t="s">
        <v>67</v>
      </c>
    </row>
    <row r="656" spans="1:5" x14ac:dyDescent="0.3">
      <c r="A656">
        <v>1045137019</v>
      </c>
      <c r="B656" t="s">
        <v>774</v>
      </c>
      <c r="C656" t="s">
        <v>537</v>
      </c>
      <c r="D656" t="s">
        <v>85</v>
      </c>
      <c r="E656" t="s">
        <v>67</v>
      </c>
    </row>
    <row r="657" spans="1:5" x14ac:dyDescent="0.3">
      <c r="A657">
        <v>1038116836</v>
      </c>
      <c r="B657" t="s">
        <v>775</v>
      </c>
      <c r="C657" t="s">
        <v>611</v>
      </c>
      <c r="D657" t="s">
        <v>66</v>
      </c>
      <c r="E657" t="s">
        <v>67</v>
      </c>
    </row>
    <row r="658" spans="1:5" x14ac:dyDescent="0.3">
      <c r="A658">
        <v>1038105642</v>
      </c>
      <c r="B658" t="s">
        <v>776</v>
      </c>
      <c r="C658" t="s">
        <v>611</v>
      </c>
      <c r="D658" t="s">
        <v>66</v>
      </c>
      <c r="E658" t="s">
        <v>67</v>
      </c>
    </row>
    <row r="659" spans="1:5" x14ac:dyDescent="0.3">
      <c r="A659">
        <v>1129805336</v>
      </c>
      <c r="B659" t="s">
        <v>777</v>
      </c>
      <c r="C659" t="s">
        <v>611</v>
      </c>
      <c r="D659" t="s">
        <v>66</v>
      </c>
      <c r="E659" t="s">
        <v>67</v>
      </c>
    </row>
    <row r="660" spans="1:5" x14ac:dyDescent="0.3">
      <c r="A660">
        <v>1007536066</v>
      </c>
      <c r="B660" t="s">
        <v>778</v>
      </c>
      <c r="C660" t="s">
        <v>45</v>
      </c>
      <c r="D660" t="s">
        <v>66</v>
      </c>
      <c r="E660" t="s">
        <v>67</v>
      </c>
    </row>
    <row r="661" spans="1:5" x14ac:dyDescent="0.3">
      <c r="A661">
        <v>8057310</v>
      </c>
      <c r="B661" t="s">
        <v>779</v>
      </c>
      <c r="C661" t="s">
        <v>52</v>
      </c>
      <c r="D661" t="s">
        <v>66</v>
      </c>
      <c r="E661" t="s">
        <v>67</v>
      </c>
    </row>
    <row r="662" spans="1:5" x14ac:dyDescent="0.3">
      <c r="A662">
        <v>1007519039</v>
      </c>
      <c r="B662" t="s">
        <v>780</v>
      </c>
      <c r="C662" t="s">
        <v>781</v>
      </c>
      <c r="D662" t="s">
        <v>66</v>
      </c>
      <c r="E662" t="s">
        <v>67</v>
      </c>
    </row>
    <row r="663" spans="1:5" x14ac:dyDescent="0.3">
      <c r="A663">
        <v>1001029479</v>
      </c>
      <c r="B663" t="s">
        <v>782</v>
      </c>
      <c r="C663" t="s">
        <v>783</v>
      </c>
      <c r="D663" t="s">
        <v>46</v>
      </c>
      <c r="E663" t="s">
        <v>47</v>
      </c>
    </row>
    <row r="664" spans="1:5" x14ac:dyDescent="0.3">
      <c r="A664">
        <v>1001035570</v>
      </c>
      <c r="B664" t="s">
        <v>675</v>
      </c>
      <c r="C664" t="s">
        <v>126</v>
      </c>
      <c r="D664" t="s">
        <v>46</v>
      </c>
      <c r="E664" t="s">
        <v>47</v>
      </c>
    </row>
    <row r="665" spans="1:5" x14ac:dyDescent="0.3">
      <c r="A665">
        <v>1082832470</v>
      </c>
      <c r="B665" t="s">
        <v>784</v>
      </c>
      <c r="C665" t="s">
        <v>45</v>
      </c>
      <c r="D665" t="s">
        <v>46</v>
      </c>
      <c r="E665" t="s">
        <v>47</v>
      </c>
    </row>
    <row r="666" spans="1:5" x14ac:dyDescent="0.3">
      <c r="A666">
        <v>1001022882</v>
      </c>
      <c r="B666" t="s">
        <v>785</v>
      </c>
      <c r="C666" t="s">
        <v>126</v>
      </c>
      <c r="D666" t="s">
        <v>46</v>
      </c>
      <c r="E666" t="s">
        <v>47</v>
      </c>
    </row>
    <row r="667" spans="1:5" x14ac:dyDescent="0.3">
      <c r="A667">
        <v>1035640348</v>
      </c>
      <c r="B667" t="s">
        <v>786</v>
      </c>
      <c r="C667" t="s">
        <v>45</v>
      </c>
      <c r="D667" t="s">
        <v>46</v>
      </c>
      <c r="E667" t="s">
        <v>47</v>
      </c>
    </row>
    <row r="668" spans="1:5" x14ac:dyDescent="0.3">
      <c r="A668">
        <v>8373722</v>
      </c>
      <c r="B668" t="s">
        <v>787</v>
      </c>
      <c r="C668" t="s">
        <v>126</v>
      </c>
      <c r="D668" t="s">
        <v>788</v>
      </c>
      <c r="E668" t="s">
        <v>67</v>
      </c>
    </row>
    <row r="669" spans="1:5" x14ac:dyDescent="0.3">
      <c r="A669">
        <v>1001710807</v>
      </c>
      <c r="B669" t="s">
        <v>789</v>
      </c>
      <c r="C669" t="s">
        <v>126</v>
      </c>
      <c r="D669" t="s">
        <v>85</v>
      </c>
      <c r="E669" t="s">
        <v>67</v>
      </c>
    </row>
    <row r="670" spans="1:5" x14ac:dyDescent="0.3">
      <c r="A670">
        <v>1045488512</v>
      </c>
      <c r="B670" t="s">
        <v>790</v>
      </c>
      <c r="C670" t="s">
        <v>126</v>
      </c>
      <c r="D670" t="s">
        <v>50</v>
      </c>
      <c r="E670" t="s">
        <v>67</v>
      </c>
    </row>
    <row r="671" spans="1:5" x14ac:dyDescent="0.3">
      <c r="A671">
        <v>1007494751</v>
      </c>
      <c r="B671" t="s">
        <v>791</v>
      </c>
      <c r="C671" t="s">
        <v>126</v>
      </c>
      <c r="D671" t="s">
        <v>85</v>
      </c>
      <c r="E671" t="s">
        <v>67</v>
      </c>
    </row>
    <row r="672" spans="1:5" x14ac:dyDescent="0.3">
      <c r="A672">
        <v>1072746555</v>
      </c>
      <c r="B672" t="s">
        <v>792</v>
      </c>
      <c r="C672" t="s">
        <v>793</v>
      </c>
      <c r="D672" t="s">
        <v>46</v>
      </c>
      <c r="E672" t="s">
        <v>47</v>
      </c>
    </row>
    <row r="673" spans="1:5" x14ac:dyDescent="0.3">
      <c r="A673">
        <v>1152942391</v>
      </c>
      <c r="B673" t="s">
        <v>794</v>
      </c>
      <c r="C673" t="s">
        <v>45</v>
      </c>
      <c r="D673" t="s">
        <v>50</v>
      </c>
      <c r="E673" t="s">
        <v>47</v>
      </c>
    </row>
    <row r="674" spans="1:5" x14ac:dyDescent="0.3">
      <c r="A674">
        <v>22242582</v>
      </c>
      <c r="B674" t="s">
        <v>796</v>
      </c>
      <c r="C674" t="s">
        <v>126</v>
      </c>
      <c r="D674" t="s">
        <v>85</v>
      </c>
      <c r="E674" t="s">
        <v>67</v>
      </c>
    </row>
    <row r="675" spans="1:5" x14ac:dyDescent="0.3">
      <c r="A675">
        <v>1038482353</v>
      </c>
      <c r="B675" t="s">
        <v>797</v>
      </c>
      <c r="C675" t="s">
        <v>126</v>
      </c>
      <c r="D675" t="s">
        <v>74</v>
      </c>
      <c r="E675" t="s">
        <v>67</v>
      </c>
    </row>
    <row r="676" spans="1:5" x14ac:dyDescent="0.3">
      <c r="A676">
        <v>1007845541</v>
      </c>
      <c r="B676" t="s">
        <v>798</v>
      </c>
      <c r="C676" t="s">
        <v>45</v>
      </c>
      <c r="D676" t="s">
        <v>66</v>
      </c>
      <c r="E676" t="s">
        <v>67</v>
      </c>
    </row>
    <row r="677" spans="1:5" x14ac:dyDescent="0.3">
      <c r="A677">
        <v>1040378258</v>
      </c>
      <c r="B677" t="s">
        <v>799</v>
      </c>
      <c r="C677" t="s">
        <v>126</v>
      </c>
      <c r="D677" t="s">
        <v>46</v>
      </c>
      <c r="E677" t="s">
        <v>47</v>
      </c>
    </row>
    <row r="678" spans="1:5" x14ac:dyDescent="0.3">
      <c r="A678">
        <v>1001154057</v>
      </c>
      <c r="B678" t="s">
        <v>800</v>
      </c>
      <c r="C678" t="s">
        <v>126</v>
      </c>
      <c r="D678" t="s">
        <v>46</v>
      </c>
      <c r="E678" t="s">
        <v>47</v>
      </c>
    </row>
    <row r="679" spans="1:5" x14ac:dyDescent="0.3">
      <c r="A679">
        <v>4799835</v>
      </c>
      <c r="B679" t="s">
        <v>801</v>
      </c>
      <c r="C679" t="s">
        <v>45</v>
      </c>
      <c r="D679" t="s">
        <v>46</v>
      </c>
      <c r="E679" t="s">
        <v>47</v>
      </c>
    </row>
    <row r="680" spans="1:5" x14ac:dyDescent="0.3">
      <c r="A680">
        <v>1038129706</v>
      </c>
      <c r="B680" t="s">
        <v>802</v>
      </c>
      <c r="C680" t="s">
        <v>126</v>
      </c>
      <c r="D680" t="s">
        <v>66</v>
      </c>
      <c r="E680" t="s">
        <v>67</v>
      </c>
    </row>
    <row r="681" spans="1:5" x14ac:dyDescent="0.3">
      <c r="A681">
        <v>1073982294</v>
      </c>
      <c r="B681" t="s">
        <v>803</v>
      </c>
      <c r="C681" t="s">
        <v>52</v>
      </c>
      <c r="D681" t="s">
        <v>50</v>
      </c>
      <c r="E681" t="s">
        <v>47</v>
      </c>
    </row>
    <row r="682" spans="1:5" x14ac:dyDescent="0.3">
      <c r="A682">
        <v>1045507565</v>
      </c>
      <c r="B682" t="s">
        <v>804</v>
      </c>
      <c r="C682" t="s">
        <v>126</v>
      </c>
      <c r="D682" t="s">
        <v>50</v>
      </c>
      <c r="E682" t="s">
        <v>47</v>
      </c>
    </row>
    <row r="683" spans="1:5" x14ac:dyDescent="0.3">
      <c r="A683">
        <v>35114581</v>
      </c>
      <c r="B683" t="s">
        <v>805</v>
      </c>
      <c r="C683" t="s">
        <v>126</v>
      </c>
      <c r="D683" t="s">
        <v>22</v>
      </c>
      <c r="E683" t="s">
        <v>47</v>
      </c>
    </row>
    <row r="684" spans="1:5" x14ac:dyDescent="0.3">
      <c r="A684">
        <v>1038100514</v>
      </c>
      <c r="B684" t="s">
        <v>806</v>
      </c>
      <c r="C684" t="s">
        <v>768</v>
      </c>
      <c r="D684" t="s">
        <v>66</v>
      </c>
      <c r="E684" t="s">
        <v>67</v>
      </c>
    </row>
    <row r="685" spans="1:5" x14ac:dyDescent="0.3">
      <c r="A685">
        <v>35891726</v>
      </c>
      <c r="B685" t="s">
        <v>807</v>
      </c>
      <c r="C685" t="s">
        <v>126</v>
      </c>
      <c r="D685" t="s">
        <v>74</v>
      </c>
      <c r="E685" t="s">
        <v>67</v>
      </c>
    </row>
    <row r="686" spans="1:5" x14ac:dyDescent="0.3">
      <c r="A686">
        <v>5934261</v>
      </c>
      <c r="B686" t="s">
        <v>808</v>
      </c>
      <c r="C686" t="s">
        <v>126</v>
      </c>
      <c r="D686" t="s">
        <v>66</v>
      </c>
      <c r="E686" t="s">
        <v>67</v>
      </c>
    </row>
    <row r="687" spans="1:5" x14ac:dyDescent="0.3">
      <c r="A687">
        <v>1027948306</v>
      </c>
      <c r="B687" t="s">
        <v>809</v>
      </c>
      <c r="C687" t="s">
        <v>45</v>
      </c>
      <c r="D687" t="s">
        <v>46</v>
      </c>
      <c r="E687" t="s">
        <v>47</v>
      </c>
    </row>
    <row r="688" spans="1:5" x14ac:dyDescent="0.3">
      <c r="A688">
        <v>1128437136</v>
      </c>
      <c r="B688" t="s">
        <v>810</v>
      </c>
      <c r="C688" t="s">
        <v>126</v>
      </c>
      <c r="D688" t="s">
        <v>74</v>
      </c>
      <c r="E688" t="s">
        <v>67</v>
      </c>
    </row>
    <row r="689" spans="1:5" x14ac:dyDescent="0.3">
      <c r="A689">
        <v>78760902</v>
      </c>
      <c r="B689" t="s">
        <v>811</v>
      </c>
      <c r="C689" t="s">
        <v>52</v>
      </c>
      <c r="D689" t="s">
        <v>50</v>
      </c>
      <c r="E689" t="s">
        <v>47</v>
      </c>
    </row>
    <row r="690" spans="1:5" x14ac:dyDescent="0.3">
      <c r="A690">
        <v>1001667507</v>
      </c>
      <c r="B690" t="s">
        <v>812</v>
      </c>
      <c r="C690" t="s">
        <v>126</v>
      </c>
      <c r="D690" t="s">
        <v>255</v>
      </c>
      <c r="E690" t="s">
        <v>47</v>
      </c>
    </row>
    <row r="691" spans="1:5" x14ac:dyDescent="0.3">
      <c r="A691">
        <v>1038115313</v>
      </c>
      <c r="B691" t="s">
        <v>813</v>
      </c>
      <c r="C691" t="s">
        <v>52</v>
      </c>
      <c r="D691" t="s">
        <v>66</v>
      </c>
      <c r="E691" t="s">
        <v>67</v>
      </c>
    </row>
    <row r="692" spans="1:5" x14ac:dyDescent="0.3">
      <c r="A692">
        <v>1074005228</v>
      </c>
      <c r="B692" t="s">
        <v>814</v>
      </c>
      <c r="C692" t="s">
        <v>52</v>
      </c>
      <c r="D692" t="s">
        <v>50</v>
      </c>
      <c r="E692" t="s">
        <v>47</v>
      </c>
    </row>
    <row r="693" spans="1:5" x14ac:dyDescent="0.3">
      <c r="A693">
        <v>1094963240</v>
      </c>
      <c r="B693" t="s">
        <v>815</v>
      </c>
      <c r="C693" t="s">
        <v>126</v>
      </c>
      <c r="D693" t="s">
        <v>255</v>
      </c>
      <c r="E693" t="s">
        <v>47</v>
      </c>
    </row>
    <row r="694" spans="1:5" x14ac:dyDescent="0.3">
      <c r="A694">
        <v>72220273</v>
      </c>
      <c r="B694" t="s">
        <v>816</v>
      </c>
      <c r="C694" t="s">
        <v>167</v>
      </c>
      <c r="D694" t="s">
        <v>251</v>
      </c>
      <c r="E694" t="s">
        <v>47</v>
      </c>
    </row>
    <row r="695" spans="1:5" x14ac:dyDescent="0.3">
      <c r="A695">
        <v>1040352167</v>
      </c>
      <c r="B695" t="s">
        <v>817</v>
      </c>
      <c r="C695" t="s">
        <v>126</v>
      </c>
      <c r="D695" t="s">
        <v>50</v>
      </c>
      <c r="E695" t="s">
        <v>47</v>
      </c>
    </row>
    <row r="696" spans="1:5" x14ac:dyDescent="0.3">
      <c r="A696">
        <v>1007845541</v>
      </c>
      <c r="B696" t="s">
        <v>798</v>
      </c>
      <c r="C696" t="s">
        <v>126</v>
      </c>
      <c r="D696" t="s">
        <v>66</v>
      </c>
      <c r="E696" t="s">
        <v>67</v>
      </c>
    </row>
    <row r="697" spans="1:5" x14ac:dyDescent="0.3">
      <c r="A697">
        <v>1038119037</v>
      </c>
      <c r="B697" t="s">
        <v>818</v>
      </c>
      <c r="C697" t="s">
        <v>762</v>
      </c>
      <c r="D697" t="s">
        <v>66</v>
      </c>
      <c r="E697" t="s">
        <v>67</v>
      </c>
    </row>
    <row r="698" spans="1:5" x14ac:dyDescent="0.3">
      <c r="A698">
        <v>1001031510</v>
      </c>
      <c r="B698" t="s">
        <v>819</v>
      </c>
      <c r="C698" t="s">
        <v>45</v>
      </c>
      <c r="D698" t="s">
        <v>46</v>
      </c>
      <c r="E698" t="s">
        <v>47</v>
      </c>
    </row>
    <row r="699" spans="1:5" x14ac:dyDescent="0.3">
      <c r="A699">
        <v>1039089893</v>
      </c>
      <c r="B699" t="s">
        <v>820</v>
      </c>
      <c r="C699" t="s">
        <v>148</v>
      </c>
      <c r="D699" t="s">
        <v>77</v>
      </c>
      <c r="E699" t="s">
        <v>47</v>
      </c>
    </row>
    <row r="700" spans="1:5" x14ac:dyDescent="0.3">
      <c r="A700">
        <v>1038092790</v>
      </c>
      <c r="B700" t="s">
        <v>821</v>
      </c>
      <c r="C700" t="s">
        <v>126</v>
      </c>
      <c r="D700" t="s">
        <v>66</v>
      </c>
      <c r="E700" t="s">
        <v>67</v>
      </c>
    </row>
    <row r="701" spans="1:5" x14ac:dyDescent="0.3">
      <c r="A701">
        <v>1148191271</v>
      </c>
      <c r="B701" t="s">
        <v>822</v>
      </c>
      <c r="C701" t="s">
        <v>126</v>
      </c>
      <c r="D701" t="s">
        <v>66</v>
      </c>
      <c r="E701" t="s">
        <v>67</v>
      </c>
    </row>
    <row r="702" spans="1:5" x14ac:dyDescent="0.3">
      <c r="A702">
        <v>1001160162</v>
      </c>
      <c r="B702" t="s">
        <v>823</v>
      </c>
      <c r="C702" t="s">
        <v>126</v>
      </c>
      <c r="D702" t="s">
        <v>66</v>
      </c>
      <c r="E702" t="s">
        <v>67</v>
      </c>
    </row>
    <row r="703" spans="1:5" x14ac:dyDescent="0.3">
      <c r="A703">
        <v>1028003079</v>
      </c>
      <c r="B703" t="s">
        <v>824</v>
      </c>
      <c r="C703" t="s">
        <v>52</v>
      </c>
      <c r="D703" t="s">
        <v>46</v>
      </c>
      <c r="E703" t="s">
        <v>47</v>
      </c>
    </row>
    <row r="704" spans="1:5" x14ac:dyDescent="0.3">
      <c r="A704">
        <v>1007843826</v>
      </c>
      <c r="B704" t="s">
        <v>825</v>
      </c>
      <c r="C704" t="s">
        <v>45</v>
      </c>
      <c r="D704" t="s">
        <v>46</v>
      </c>
      <c r="E704" t="s">
        <v>47</v>
      </c>
    </row>
    <row r="705" spans="1:5" x14ac:dyDescent="0.3">
      <c r="A705">
        <v>1032249355</v>
      </c>
      <c r="B705" t="s">
        <v>826</v>
      </c>
      <c r="C705" t="s">
        <v>126</v>
      </c>
      <c r="D705" t="s">
        <v>66</v>
      </c>
      <c r="E705" t="s">
        <v>67</v>
      </c>
    </row>
    <row r="706" spans="1:5" x14ac:dyDescent="0.3">
      <c r="A706">
        <v>1007843930</v>
      </c>
      <c r="B706" t="s">
        <v>827</v>
      </c>
      <c r="C706" t="s">
        <v>126</v>
      </c>
      <c r="D706" t="s">
        <v>46</v>
      </c>
      <c r="E706" t="s">
        <v>47</v>
      </c>
    </row>
    <row r="707" spans="1:5" x14ac:dyDescent="0.3">
      <c r="A707">
        <v>78114495</v>
      </c>
      <c r="B707" t="s">
        <v>828</v>
      </c>
      <c r="C707" t="s">
        <v>52</v>
      </c>
      <c r="D707" t="s">
        <v>66</v>
      </c>
      <c r="E707" t="s">
        <v>67</v>
      </c>
    </row>
    <row r="708" spans="1:5" x14ac:dyDescent="0.3">
      <c r="A708">
        <v>1001593875</v>
      </c>
      <c r="B708" t="s">
        <v>829</v>
      </c>
      <c r="C708" t="s">
        <v>52</v>
      </c>
      <c r="D708" t="s">
        <v>77</v>
      </c>
      <c r="E708" t="s">
        <v>47</v>
      </c>
    </row>
    <row r="709" spans="1:5" x14ac:dyDescent="0.3">
      <c r="A709">
        <v>1040799345</v>
      </c>
      <c r="B709" t="s">
        <v>830</v>
      </c>
      <c r="C709" t="s">
        <v>126</v>
      </c>
      <c r="D709" t="s">
        <v>255</v>
      </c>
      <c r="E709" t="s">
        <v>47</v>
      </c>
    </row>
    <row r="710" spans="1:5" x14ac:dyDescent="0.3">
      <c r="A710">
        <v>1065378234</v>
      </c>
      <c r="B710" t="s">
        <v>831</v>
      </c>
      <c r="C710" t="s">
        <v>45</v>
      </c>
      <c r="D710" t="s">
        <v>66</v>
      </c>
      <c r="E710" t="s">
        <v>67</v>
      </c>
    </row>
    <row r="711" spans="1:5" x14ac:dyDescent="0.3">
      <c r="A711">
        <v>1127454136</v>
      </c>
      <c r="B711" t="s">
        <v>832</v>
      </c>
      <c r="C711" t="s">
        <v>45</v>
      </c>
      <c r="D711" t="s">
        <v>66</v>
      </c>
      <c r="E711" t="s">
        <v>67</v>
      </c>
    </row>
    <row r="712" spans="1:5" x14ac:dyDescent="0.3">
      <c r="A712">
        <v>1007933124</v>
      </c>
      <c r="B712" t="s">
        <v>833</v>
      </c>
      <c r="C712" t="s">
        <v>45</v>
      </c>
      <c r="D712" t="s">
        <v>46</v>
      </c>
      <c r="E712" t="s">
        <v>47</v>
      </c>
    </row>
    <row r="713" spans="1:5" x14ac:dyDescent="0.3">
      <c r="A713">
        <v>26036223</v>
      </c>
      <c r="B713" t="s">
        <v>834</v>
      </c>
      <c r="C713" t="s">
        <v>126</v>
      </c>
      <c r="D713" t="s">
        <v>66</v>
      </c>
      <c r="E713" t="s">
        <v>67</v>
      </c>
    </row>
    <row r="714" spans="1:5" x14ac:dyDescent="0.3">
      <c r="A714">
        <v>1040379753</v>
      </c>
      <c r="B714" t="s">
        <v>835</v>
      </c>
      <c r="C714" t="s">
        <v>52</v>
      </c>
      <c r="D714" t="s">
        <v>46</v>
      </c>
      <c r="E714" t="s">
        <v>47</v>
      </c>
    </row>
    <row r="715" spans="1:5" x14ac:dyDescent="0.3">
      <c r="A715">
        <v>1193032817</v>
      </c>
      <c r="B715" t="s">
        <v>836</v>
      </c>
      <c r="C715" t="s">
        <v>126</v>
      </c>
      <c r="D715" t="s">
        <v>46</v>
      </c>
      <c r="E715" t="s">
        <v>47</v>
      </c>
    </row>
    <row r="716" spans="1:5" x14ac:dyDescent="0.3">
      <c r="A716">
        <v>1003338960</v>
      </c>
      <c r="B716" t="s">
        <v>837</v>
      </c>
      <c r="C716" t="s">
        <v>126</v>
      </c>
      <c r="D716" t="s">
        <v>66</v>
      </c>
      <c r="E716" t="s">
        <v>67</v>
      </c>
    </row>
    <row r="717" spans="1:5" x14ac:dyDescent="0.3">
      <c r="A717">
        <v>1001153632</v>
      </c>
      <c r="B717" t="s">
        <v>838</v>
      </c>
      <c r="C717" t="s">
        <v>45</v>
      </c>
      <c r="D717" t="s">
        <v>46</v>
      </c>
      <c r="E717" t="s">
        <v>47</v>
      </c>
    </row>
    <row r="718" spans="1:5" x14ac:dyDescent="0.3">
      <c r="A718">
        <v>1070823261</v>
      </c>
      <c r="B718" t="s">
        <v>839</v>
      </c>
      <c r="C718" t="s">
        <v>126</v>
      </c>
      <c r="D718" t="s">
        <v>193</v>
      </c>
      <c r="E718" t="s">
        <v>47</v>
      </c>
    </row>
    <row r="719" spans="1:5" x14ac:dyDescent="0.3">
      <c r="A719">
        <v>1007933131</v>
      </c>
      <c r="B719" t="s">
        <v>840</v>
      </c>
      <c r="C719" t="s">
        <v>52</v>
      </c>
      <c r="D719" t="s">
        <v>50</v>
      </c>
      <c r="E719" t="s">
        <v>47</v>
      </c>
    </row>
    <row r="720" spans="1:5" x14ac:dyDescent="0.3">
      <c r="A720">
        <v>1028028218</v>
      </c>
      <c r="B720" t="s">
        <v>841</v>
      </c>
      <c r="C720" t="s">
        <v>45</v>
      </c>
      <c r="D720" t="s">
        <v>46</v>
      </c>
      <c r="E720" t="s">
        <v>47</v>
      </c>
    </row>
    <row r="721" spans="1:5" x14ac:dyDescent="0.3">
      <c r="A721">
        <v>1069472873</v>
      </c>
      <c r="B721" t="s">
        <v>842</v>
      </c>
      <c r="C721" t="s">
        <v>45</v>
      </c>
      <c r="D721" t="s">
        <v>71</v>
      </c>
      <c r="E721" t="s">
        <v>67</v>
      </c>
    </row>
    <row r="722" spans="1:5" x14ac:dyDescent="0.3">
      <c r="A722">
        <v>1003465915</v>
      </c>
      <c r="B722" t="s">
        <v>843</v>
      </c>
      <c r="C722" t="s">
        <v>537</v>
      </c>
      <c r="D722" t="s">
        <v>77</v>
      </c>
      <c r="E722" t="s">
        <v>47</v>
      </c>
    </row>
    <row r="723" spans="1:5" x14ac:dyDescent="0.3">
      <c r="A723">
        <v>1001033763</v>
      </c>
      <c r="B723" t="s">
        <v>844</v>
      </c>
      <c r="C723" t="s">
        <v>845</v>
      </c>
      <c r="D723" t="s">
        <v>46</v>
      </c>
      <c r="E723" t="s">
        <v>47</v>
      </c>
    </row>
    <row r="724" spans="1:5" x14ac:dyDescent="0.3">
      <c r="A724">
        <v>1037548828</v>
      </c>
      <c r="B724" t="s">
        <v>846</v>
      </c>
      <c r="C724" t="s">
        <v>126</v>
      </c>
      <c r="D724" t="s">
        <v>71</v>
      </c>
      <c r="E724" t="s">
        <v>67</v>
      </c>
    </row>
    <row r="725" spans="1:5" x14ac:dyDescent="0.3">
      <c r="A725">
        <v>1038476886</v>
      </c>
      <c r="B725" t="s">
        <v>847</v>
      </c>
      <c r="C725" t="s">
        <v>45</v>
      </c>
      <c r="D725" t="s">
        <v>74</v>
      </c>
      <c r="E725" t="s">
        <v>67</v>
      </c>
    </row>
    <row r="726" spans="1:5" x14ac:dyDescent="0.3">
      <c r="A726">
        <v>1063283242</v>
      </c>
      <c r="B726" t="s">
        <v>848</v>
      </c>
      <c r="C726" t="s">
        <v>204</v>
      </c>
      <c r="D726" t="s">
        <v>66</v>
      </c>
      <c r="E726" t="s">
        <v>67</v>
      </c>
    </row>
    <row r="727" spans="1:5" x14ac:dyDescent="0.3">
      <c r="A727">
        <v>1027957442</v>
      </c>
      <c r="B727" t="s">
        <v>849</v>
      </c>
      <c r="C727" t="s">
        <v>45</v>
      </c>
      <c r="D727" t="s">
        <v>46</v>
      </c>
      <c r="E727" t="s">
        <v>47</v>
      </c>
    </row>
    <row r="728" spans="1:5" x14ac:dyDescent="0.3">
      <c r="A728">
        <v>70542179</v>
      </c>
      <c r="B728" t="s">
        <v>850</v>
      </c>
      <c r="C728" t="s">
        <v>45</v>
      </c>
      <c r="D728" t="s">
        <v>97</v>
      </c>
      <c r="E728" t="s">
        <v>67</v>
      </c>
    </row>
    <row r="729" spans="1:5" x14ac:dyDescent="0.3">
      <c r="A729">
        <v>1045509448</v>
      </c>
      <c r="B729" t="s">
        <v>851</v>
      </c>
      <c r="C729" t="s">
        <v>45</v>
      </c>
      <c r="D729" t="s">
        <v>50</v>
      </c>
      <c r="E729" t="s">
        <v>47</v>
      </c>
    </row>
    <row r="730" spans="1:5" x14ac:dyDescent="0.3">
      <c r="A730">
        <v>1041262267</v>
      </c>
      <c r="B730" t="s">
        <v>852</v>
      </c>
      <c r="C730" t="s">
        <v>853</v>
      </c>
      <c r="D730" t="s">
        <v>46</v>
      </c>
      <c r="E730" t="s">
        <v>47</v>
      </c>
    </row>
    <row r="731" spans="1:5" x14ac:dyDescent="0.3">
      <c r="A731">
        <v>1045511586</v>
      </c>
      <c r="B731" t="s">
        <v>854</v>
      </c>
      <c r="C731" t="s">
        <v>52</v>
      </c>
      <c r="D731" t="s">
        <v>50</v>
      </c>
      <c r="E731" t="s">
        <v>47</v>
      </c>
    </row>
    <row r="732" spans="1:5" x14ac:dyDescent="0.3">
      <c r="A732">
        <v>1214747826</v>
      </c>
      <c r="B732" t="s">
        <v>855</v>
      </c>
      <c r="C732" t="s">
        <v>52</v>
      </c>
      <c r="D732" t="s">
        <v>46</v>
      </c>
      <c r="E732" t="s">
        <v>47</v>
      </c>
    </row>
    <row r="733" spans="1:5" x14ac:dyDescent="0.3">
      <c r="A733">
        <v>78302596</v>
      </c>
      <c r="B733" t="s">
        <v>856</v>
      </c>
      <c r="C733" t="s">
        <v>52</v>
      </c>
      <c r="D733" t="s">
        <v>66</v>
      </c>
      <c r="E733" t="s">
        <v>67</v>
      </c>
    </row>
    <row r="734" spans="1:5" x14ac:dyDescent="0.3">
      <c r="A734">
        <v>1001026931</v>
      </c>
      <c r="B734" t="s">
        <v>857</v>
      </c>
      <c r="C734" t="s">
        <v>45</v>
      </c>
      <c r="D734" t="s">
        <v>131</v>
      </c>
      <c r="E734" t="s">
        <v>47</v>
      </c>
    </row>
    <row r="735" spans="1:5" x14ac:dyDescent="0.3">
      <c r="A735">
        <v>1066727449</v>
      </c>
      <c r="B735" t="s">
        <v>858</v>
      </c>
      <c r="C735" t="s">
        <v>45</v>
      </c>
      <c r="D735" t="s">
        <v>66</v>
      </c>
      <c r="E735" t="s">
        <v>67</v>
      </c>
    </row>
    <row r="736" spans="1:5" x14ac:dyDescent="0.3">
      <c r="A736">
        <v>1001596305</v>
      </c>
      <c r="B736" t="s">
        <v>859</v>
      </c>
      <c r="C736" t="s">
        <v>52</v>
      </c>
      <c r="D736" t="s">
        <v>46</v>
      </c>
      <c r="E736" t="s">
        <v>47</v>
      </c>
    </row>
    <row r="737" spans="1:5" x14ac:dyDescent="0.3">
      <c r="A737">
        <v>1052960549</v>
      </c>
      <c r="B737" t="s">
        <v>860</v>
      </c>
      <c r="C737" t="s">
        <v>52</v>
      </c>
      <c r="D737" t="s">
        <v>66</v>
      </c>
      <c r="E737" t="s">
        <v>67</v>
      </c>
    </row>
    <row r="738" spans="1:5" x14ac:dyDescent="0.3">
      <c r="A738">
        <v>1007491209</v>
      </c>
      <c r="B738" t="s">
        <v>861</v>
      </c>
      <c r="C738" t="s">
        <v>45</v>
      </c>
      <c r="D738" t="s">
        <v>71</v>
      </c>
      <c r="E738" t="s">
        <v>67</v>
      </c>
    </row>
    <row r="739" spans="1:5" x14ac:dyDescent="0.3">
      <c r="A739">
        <v>1045513477</v>
      </c>
      <c r="B739" t="s">
        <v>862</v>
      </c>
      <c r="C739" t="s">
        <v>45</v>
      </c>
      <c r="D739" t="s">
        <v>131</v>
      </c>
      <c r="E739" t="s">
        <v>47</v>
      </c>
    </row>
    <row r="740" spans="1:5" x14ac:dyDescent="0.3">
      <c r="A740">
        <v>1028023495</v>
      </c>
      <c r="B740" t="s">
        <v>863</v>
      </c>
      <c r="C740" t="s">
        <v>45</v>
      </c>
      <c r="D740" t="s">
        <v>46</v>
      </c>
      <c r="E740" t="s">
        <v>47</v>
      </c>
    </row>
    <row r="741" spans="1:5" x14ac:dyDescent="0.3">
      <c r="A741">
        <v>1045508848</v>
      </c>
      <c r="B741" t="s">
        <v>864</v>
      </c>
      <c r="C741" t="s">
        <v>45</v>
      </c>
      <c r="D741" t="s">
        <v>50</v>
      </c>
      <c r="E741" t="s">
        <v>47</v>
      </c>
    </row>
    <row r="742" spans="1:5" x14ac:dyDescent="0.3">
      <c r="A742">
        <v>1045519399</v>
      </c>
      <c r="B742" t="s">
        <v>865</v>
      </c>
      <c r="C742" t="s">
        <v>126</v>
      </c>
      <c r="D742" t="s">
        <v>50</v>
      </c>
      <c r="E742" t="s">
        <v>47</v>
      </c>
    </row>
    <row r="743" spans="1:5" x14ac:dyDescent="0.3">
      <c r="A743">
        <v>1038124997</v>
      </c>
      <c r="B743" t="s">
        <v>866</v>
      </c>
      <c r="C743" t="s">
        <v>45</v>
      </c>
      <c r="D743" t="s">
        <v>66</v>
      </c>
      <c r="E743" t="s">
        <v>67</v>
      </c>
    </row>
    <row r="744" spans="1:5" x14ac:dyDescent="0.3">
      <c r="A744">
        <v>1045494644</v>
      </c>
      <c r="B744" t="s">
        <v>869</v>
      </c>
      <c r="C744" t="s">
        <v>52</v>
      </c>
      <c r="D744" t="s">
        <v>50</v>
      </c>
      <c r="E744" t="s">
        <v>47</v>
      </c>
    </row>
    <row r="745" spans="1:5" x14ac:dyDescent="0.3">
      <c r="A745">
        <v>1039079165</v>
      </c>
      <c r="B745" t="s">
        <v>870</v>
      </c>
      <c r="C745" t="s">
        <v>52</v>
      </c>
      <c r="D745" t="s">
        <v>22</v>
      </c>
      <c r="E745" t="s">
        <v>47</v>
      </c>
    </row>
    <row r="746" spans="1:5" x14ac:dyDescent="0.3">
      <c r="A746">
        <v>1039085588</v>
      </c>
      <c r="B746" t="s">
        <v>871</v>
      </c>
      <c r="C746" t="s">
        <v>45</v>
      </c>
      <c r="D746" t="s">
        <v>46</v>
      </c>
      <c r="E746" t="s">
        <v>47</v>
      </c>
    </row>
    <row r="747" spans="1:5" x14ac:dyDescent="0.3">
      <c r="A747">
        <v>1007898956</v>
      </c>
      <c r="B747" t="s">
        <v>872</v>
      </c>
      <c r="C747" t="s">
        <v>45</v>
      </c>
      <c r="D747" t="s">
        <v>46</v>
      </c>
      <c r="E747" t="s">
        <v>47</v>
      </c>
    </row>
    <row r="748" spans="1:5" x14ac:dyDescent="0.3">
      <c r="A748">
        <v>1002476861</v>
      </c>
      <c r="B748" t="s">
        <v>873</v>
      </c>
      <c r="C748" t="s">
        <v>853</v>
      </c>
      <c r="D748" t="s">
        <v>46</v>
      </c>
      <c r="E748" t="s">
        <v>47</v>
      </c>
    </row>
    <row r="749" spans="1:5" x14ac:dyDescent="0.3">
      <c r="A749">
        <v>1151438116</v>
      </c>
      <c r="B749" t="s">
        <v>874</v>
      </c>
      <c r="C749" t="s">
        <v>45</v>
      </c>
      <c r="D749" t="s">
        <v>66</v>
      </c>
      <c r="E749" t="s">
        <v>67</v>
      </c>
    </row>
    <row r="750" spans="1:5" x14ac:dyDescent="0.3">
      <c r="A750">
        <v>78746825</v>
      </c>
      <c r="B750" t="s">
        <v>664</v>
      </c>
      <c r="C750" t="s">
        <v>45</v>
      </c>
      <c r="D750" t="s">
        <v>85</v>
      </c>
      <c r="E750" t="s">
        <v>67</v>
      </c>
    </row>
    <row r="751" spans="1:5" x14ac:dyDescent="0.3">
      <c r="A751">
        <v>1028037893</v>
      </c>
      <c r="B751" t="s">
        <v>875</v>
      </c>
      <c r="C751" t="s">
        <v>45</v>
      </c>
      <c r="D751" t="s">
        <v>50</v>
      </c>
      <c r="E751" t="s">
        <v>47</v>
      </c>
    </row>
    <row r="752" spans="1:5" x14ac:dyDescent="0.3">
      <c r="A752">
        <v>1151438116</v>
      </c>
      <c r="B752" t="s">
        <v>874</v>
      </c>
      <c r="C752" t="s">
        <v>45</v>
      </c>
      <c r="D752" t="s">
        <v>66</v>
      </c>
      <c r="E752" t="s">
        <v>67</v>
      </c>
    </row>
    <row r="753" spans="1:5" x14ac:dyDescent="0.3">
      <c r="A753">
        <v>78297379</v>
      </c>
      <c r="B753" t="s">
        <v>876</v>
      </c>
      <c r="C753" t="s">
        <v>52</v>
      </c>
      <c r="D753" t="s">
        <v>66</v>
      </c>
      <c r="E753" t="s">
        <v>67</v>
      </c>
    </row>
    <row r="754" spans="1:5" x14ac:dyDescent="0.3">
      <c r="A754">
        <v>15342789</v>
      </c>
      <c r="B754" t="s">
        <v>877</v>
      </c>
      <c r="C754" t="s">
        <v>52</v>
      </c>
      <c r="D754" t="s">
        <v>46</v>
      </c>
      <c r="E754" t="s">
        <v>47</v>
      </c>
    </row>
    <row r="755" spans="1:5" x14ac:dyDescent="0.3">
      <c r="A755">
        <v>1028025732</v>
      </c>
      <c r="B755" t="s">
        <v>878</v>
      </c>
      <c r="C755" t="s">
        <v>45</v>
      </c>
      <c r="D755" t="s">
        <v>46</v>
      </c>
      <c r="E755" t="s">
        <v>47</v>
      </c>
    </row>
    <row r="756" spans="1:5" x14ac:dyDescent="0.3">
      <c r="A756">
        <v>1038105738</v>
      </c>
      <c r="B756" t="s">
        <v>879</v>
      </c>
      <c r="C756" t="s">
        <v>45</v>
      </c>
      <c r="D756" t="s">
        <v>71</v>
      </c>
      <c r="E756" t="s">
        <v>67</v>
      </c>
    </row>
    <row r="757" spans="1:5" x14ac:dyDescent="0.3">
      <c r="A757">
        <v>1050722814</v>
      </c>
      <c r="B757" t="s">
        <v>880</v>
      </c>
      <c r="C757" t="s">
        <v>45</v>
      </c>
      <c r="D757" t="s">
        <v>85</v>
      </c>
      <c r="E757" t="s">
        <v>67</v>
      </c>
    </row>
    <row r="758" spans="1:5" x14ac:dyDescent="0.3">
      <c r="A758">
        <v>1214718258</v>
      </c>
      <c r="B758" t="s">
        <v>881</v>
      </c>
      <c r="C758" t="s">
        <v>52</v>
      </c>
      <c r="D758" t="s">
        <v>46</v>
      </c>
      <c r="E758" t="s">
        <v>47</v>
      </c>
    </row>
    <row r="759" spans="1:5" x14ac:dyDescent="0.3">
      <c r="A759">
        <v>1038136401</v>
      </c>
      <c r="B759" t="s">
        <v>882</v>
      </c>
      <c r="C759" t="s">
        <v>126</v>
      </c>
      <c r="D759" t="s">
        <v>66</v>
      </c>
      <c r="E759" t="s">
        <v>67</v>
      </c>
    </row>
    <row r="760" spans="1:5" x14ac:dyDescent="0.3">
      <c r="A760">
        <v>1038135551</v>
      </c>
      <c r="B760" t="s">
        <v>883</v>
      </c>
      <c r="C760" t="s">
        <v>45</v>
      </c>
      <c r="D760" t="s">
        <v>66</v>
      </c>
      <c r="E760" t="s">
        <v>67</v>
      </c>
    </row>
    <row r="761" spans="1:5" x14ac:dyDescent="0.3">
      <c r="A761">
        <v>1045494130</v>
      </c>
      <c r="B761" t="s">
        <v>884</v>
      </c>
      <c r="C761" t="s">
        <v>45</v>
      </c>
      <c r="D761" t="s">
        <v>50</v>
      </c>
      <c r="E761" t="s">
        <v>47</v>
      </c>
    </row>
    <row r="762" spans="1:5" x14ac:dyDescent="0.3">
      <c r="A762">
        <v>5107144</v>
      </c>
      <c r="B762" t="s">
        <v>885</v>
      </c>
      <c r="C762" t="s">
        <v>45</v>
      </c>
      <c r="D762" t="s">
        <v>66</v>
      </c>
      <c r="E762" t="s">
        <v>67</v>
      </c>
    </row>
    <row r="763" spans="1:5" x14ac:dyDescent="0.3">
      <c r="A763">
        <v>1066748343</v>
      </c>
      <c r="B763" t="s">
        <v>886</v>
      </c>
      <c r="C763" t="s">
        <v>45</v>
      </c>
      <c r="D763" t="s">
        <v>66</v>
      </c>
      <c r="E763" t="s">
        <v>67</v>
      </c>
    </row>
    <row r="764" spans="1:5" x14ac:dyDescent="0.3">
      <c r="A764">
        <v>1038479551</v>
      </c>
      <c r="B764" t="s">
        <v>887</v>
      </c>
      <c r="C764" t="s">
        <v>45</v>
      </c>
      <c r="D764" t="s">
        <v>66</v>
      </c>
      <c r="E764" t="s">
        <v>67</v>
      </c>
    </row>
    <row r="765" spans="1:5" x14ac:dyDescent="0.3">
      <c r="A765">
        <v>1066572892</v>
      </c>
      <c r="B765" t="s">
        <v>888</v>
      </c>
      <c r="C765" t="s">
        <v>126</v>
      </c>
      <c r="D765" t="s">
        <v>66</v>
      </c>
      <c r="E765" t="s">
        <v>67</v>
      </c>
    </row>
    <row r="766" spans="1:5" x14ac:dyDescent="0.3">
      <c r="A766">
        <v>1045522441</v>
      </c>
      <c r="B766" t="s">
        <v>889</v>
      </c>
      <c r="C766" t="s">
        <v>52</v>
      </c>
      <c r="D766" t="s">
        <v>50</v>
      </c>
      <c r="E766" t="s">
        <v>47</v>
      </c>
    </row>
    <row r="767" spans="1:5" x14ac:dyDescent="0.3">
      <c r="A767">
        <v>78294567</v>
      </c>
      <c r="B767" t="s">
        <v>890</v>
      </c>
      <c r="C767" t="s">
        <v>52</v>
      </c>
      <c r="D767" t="s">
        <v>66</v>
      </c>
      <c r="E767" t="s">
        <v>67</v>
      </c>
    </row>
    <row r="768" spans="1:5" x14ac:dyDescent="0.3">
      <c r="A768">
        <v>1045511978</v>
      </c>
      <c r="B768" t="s">
        <v>891</v>
      </c>
      <c r="C768" t="s">
        <v>768</v>
      </c>
      <c r="D768" t="s">
        <v>50</v>
      </c>
      <c r="E768" t="s">
        <v>47</v>
      </c>
    </row>
    <row r="769" spans="1:5" x14ac:dyDescent="0.3">
      <c r="A769">
        <v>1045524401</v>
      </c>
      <c r="B769" t="s">
        <v>892</v>
      </c>
      <c r="C769" t="s">
        <v>126</v>
      </c>
      <c r="D769" t="s">
        <v>50</v>
      </c>
      <c r="E769" t="s">
        <v>47</v>
      </c>
    </row>
    <row r="770" spans="1:5" x14ac:dyDescent="0.3">
      <c r="A770">
        <v>1193344866</v>
      </c>
      <c r="B770" t="s">
        <v>893</v>
      </c>
      <c r="C770" t="s">
        <v>45</v>
      </c>
      <c r="D770" t="s">
        <v>50</v>
      </c>
      <c r="E770" t="s">
        <v>47</v>
      </c>
    </row>
    <row r="771" spans="1:5" x14ac:dyDescent="0.3">
      <c r="A771">
        <v>1045493527</v>
      </c>
      <c r="B771" t="s">
        <v>894</v>
      </c>
      <c r="C771" t="s">
        <v>45</v>
      </c>
      <c r="D771" t="s">
        <v>50</v>
      </c>
      <c r="E771" t="s">
        <v>47</v>
      </c>
    </row>
    <row r="772" spans="1:5" x14ac:dyDescent="0.3">
      <c r="A772">
        <v>1033373597</v>
      </c>
      <c r="B772" t="s">
        <v>895</v>
      </c>
      <c r="C772" t="s">
        <v>126</v>
      </c>
      <c r="D772" t="s">
        <v>22</v>
      </c>
      <c r="E772" t="s">
        <v>47</v>
      </c>
    </row>
    <row r="773" spans="1:5" x14ac:dyDescent="0.3">
      <c r="A773">
        <v>1038479911</v>
      </c>
      <c r="B773" t="s">
        <v>896</v>
      </c>
      <c r="C773" t="s">
        <v>45</v>
      </c>
      <c r="D773" t="s">
        <v>74</v>
      </c>
      <c r="E773" t="s">
        <v>67</v>
      </c>
    </row>
    <row r="774" spans="1:5" x14ac:dyDescent="0.3">
      <c r="A774">
        <v>1100083021</v>
      </c>
      <c r="B774" t="s">
        <v>897</v>
      </c>
      <c r="C774" t="s">
        <v>45</v>
      </c>
      <c r="D774" t="s">
        <v>97</v>
      </c>
      <c r="E774" t="s">
        <v>67</v>
      </c>
    </row>
    <row r="775" spans="1:5" x14ac:dyDescent="0.3">
      <c r="A775">
        <v>1001028231</v>
      </c>
      <c r="B775" t="s">
        <v>898</v>
      </c>
      <c r="C775" t="s">
        <v>126</v>
      </c>
      <c r="D775" t="s">
        <v>46</v>
      </c>
      <c r="E775" t="s">
        <v>47</v>
      </c>
    </row>
    <row r="776" spans="1:5" x14ac:dyDescent="0.3">
      <c r="A776">
        <v>1028035803</v>
      </c>
      <c r="B776" t="s">
        <v>899</v>
      </c>
      <c r="C776" t="s">
        <v>45</v>
      </c>
      <c r="D776" t="s">
        <v>46</v>
      </c>
      <c r="E776" t="s">
        <v>47</v>
      </c>
    </row>
    <row r="777" spans="1:5" x14ac:dyDescent="0.3">
      <c r="A777">
        <v>78303716</v>
      </c>
      <c r="B777" t="s">
        <v>900</v>
      </c>
      <c r="C777" t="s">
        <v>45</v>
      </c>
      <c r="D777" t="s">
        <v>66</v>
      </c>
      <c r="E777" t="s">
        <v>67</v>
      </c>
    </row>
    <row r="778" spans="1:5" x14ac:dyDescent="0.3">
      <c r="A778">
        <v>1035432084</v>
      </c>
      <c r="B778" t="s">
        <v>901</v>
      </c>
      <c r="C778" t="s">
        <v>45</v>
      </c>
      <c r="D778" t="s">
        <v>66</v>
      </c>
      <c r="E778" t="s">
        <v>67</v>
      </c>
    </row>
    <row r="779" spans="1:5" x14ac:dyDescent="0.3">
      <c r="A779">
        <v>1193106097</v>
      </c>
      <c r="B779" t="s">
        <v>902</v>
      </c>
      <c r="C779" t="s">
        <v>45</v>
      </c>
      <c r="D779" t="s">
        <v>50</v>
      </c>
      <c r="E779" t="s">
        <v>47</v>
      </c>
    </row>
    <row r="780" spans="1:5" x14ac:dyDescent="0.3">
      <c r="A780">
        <v>1028040577</v>
      </c>
      <c r="B780" t="s">
        <v>903</v>
      </c>
      <c r="C780" t="s">
        <v>126</v>
      </c>
      <c r="D780" t="s">
        <v>50</v>
      </c>
      <c r="E780" t="s">
        <v>47</v>
      </c>
    </row>
    <row r="781" spans="1:5" x14ac:dyDescent="0.3">
      <c r="A781">
        <v>1045503845</v>
      </c>
      <c r="B781" t="s">
        <v>904</v>
      </c>
      <c r="C781" t="s">
        <v>126</v>
      </c>
      <c r="D781" t="s">
        <v>50</v>
      </c>
      <c r="E781" t="s">
        <v>47</v>
      </c>
    </row>
    <row r="782" spans="1:5" x14ac:dyDescent="0.3">
      <c r="A782">
        <v>1027946115</v>
      </c>
      <c r="B782" t="s">
        <v>905</v>
      </c>
      <c r="C782" t="s">
        <v>126</v>
      </c>
      <c r="D782" t="s">
        <v>46</v>
      </c>
      <c r="E782" t="s">
        <v>47</v>
      </c>
    </row>
    <row r="783" spans="1:5" x14ac:dyDescent="0.3">
      <c r="A783">
        <v>1001533310</v>
      </c>
      <c r="B783" t="s">
        <v>906</v>
      </c>
      <c r="C783" t="s">
        <v>52</v>
      </c>
      <c r="D783" t="s">
        <v>66</v>
      </c>
      <c r="E783" t="s">
        <v>67</v>
      </c>
    </row>
    <row r="784" spans="1:5" x14ac:dyDescent="0.3">
      <c r="A784">
        <v>71252778</v>
      </c>
      <c r="B784" t="s">
        <v>907</v>
      </c>
      <c r="C784" t="s">
        <v>52</v>
      </c>
      <c r="D784" t="s">
        <v>50</v>
      </c>
      <c r="E784" t="s">
        <v>47</v>
      </c>
    </row>
    <row r="785" spans="1:5" x14ac:dyDescent="0.3">
      <c r="A785">
        <v>39310769</v>
      </c>
      <c r="B785" t="s">
        <v>908</v>
      </c>
      <c r="C785" t="s">
        <v>126</v>
      </c>
      <c r="D785" t="s">
        <v>50</v>
      </c>
      <c r="E785" t="s">
        <v>47</v>
      </c>
    </row>
    <row r="786" spans="1:5" x14ac:dyDescent="0.3">
      <c r="A786">
        <v>1007908515</v>
      </c>
      <c r="B786" t="s">
        <v>909</v>
      </c>
      <c r="C786" t="s">
        <v>126</v>
      </c>
      <c r="D786" t="s">
        <v>50</v>
      </c>
      <c r="E786" t="s">
        <v>47</v>
      </c>
    </row>
    <row r="787" spans="1:5" x14ac:dyDescent="0.3">
      <c r="A787">
        <v>78300728</v>
      </c>
      <c r="B787" t="s">
        <v>910</v>
      </c>
      <c r="C787" t="s">
        <v>537</v>
      </c>
      <c r="D787" t="s">
        <v>66</v>
      </c>
      <c r="E787" t="s">
        <v>67</v>
      </c>
    </row>
    <row r="788" spans="1:5" x14ac:dyDescent="0.3">
      <c r="A788">
        <v>1028040254</v>
      </c>
      <c r="B788" t="s">
        <v>911</v>
      </c>
      <c r="C788" t="s">
        <v>45</v>
      </c>
      <c r="D788" t="s">
        <v>503</v>
      </c>
      <c r="E788" t="s">
        <v>47</v>
      </c>
    </row>
    <row r="789" spans="1:5" x14ac:dyDescent="0.3">
      <c r="A789">
        <v>71350491</v>
      </c>
      <c r="B789" t="s">
        <v>912</v>
      </c>
      <c r="C789" t="s">
        <v>45</v>
      </c>
      <c r="D789" t="s">
        <v>50</v>
      </c>
      <c r="E789" t="s">
        <v>47</v>
      </c>
    </row>
    <row r="790" spans="1:5" x14ac:dyDescent="0.3">
      <c r="A790">
        <v>1007470674</v>
      </c>
      <c r="B790" t="s">
        <v>913</v>
      </c>
      <c r="C790" t="s">
        <v>126</v>
      </c>
      <c r="D790" t="s">
        <v>66</v>
      </c>
      <c r="E790" t="s">
        <v>67</v>
      </c>
    </row>
    <row r="791" spans="1:5" x14ac:dyDescent="0.3">
      <c r="A791">
        <v>1002084396</v>
      </c>
      <c r="B791" t="s">
        <v>914</v>
      </c>
      <c r="C791" t="s">
        <v>45</v>
      </c>
      <c r="D791" t="s">
        <v>71</v>
      </c>
      <c r="E791" t="s">
        <v>67</v>
      </c>
    </row>
    <row r="792" spans="1:5" x14ac:dyDescent="0.3">
      <c r="A792">
        <v>1007519194</v>
      </c>
      <c r="B792" t="s">
        <v>915</v>
      </c>
      <c r="C792" t="s">
        <v>52</v>
      </c>
      <c r="D792" t="s">
        <v>50</v>
      </c>
      <c r="E792" t="s">
        <v>47</v>
      </c>
    </row>
    <row r="793" spans="1:5" x14ac:dyDescent="0.3">
      <c r="A793">
        <v>1193514094</v>
      </c>
      <c r="B793" t="s">
        <v>916</v>
      </c>
      <c r="C793" t="s">
        <v>52</v>
      </c>
      <c r="D793" t="s">
        <v>50</v>
      </c>
      <c r="E793" t="s">
        <v>47</v>
      </c>
    </row>
    <row r="794" spans="1:5" x14ac:dyDescent="0.3">
      <c r="A794">
        <v>1038125444</v>
      </c>
      <c r="B794" t="s">
        <v>918</v>
      </c>
      <c r="C794" t="s">
        <v>126</v>
      </c>
      <c r="D794" t="s">
        <v>66</v>
      </c>
      <c r="E794" t="s">
        <v>67</v>
      </c>
    </row>
    <row r="795" spans="1:5" x14ac:dyDescent="0.3">
      <c r="A795">
        <v>78305114</v>
      </c>
      <c r="B795" t="s">
        <v>919</v>
      </c>
      <c r="C795" t="s">
        <v>52</v>
      </c>
      <c r="D795" t="s">
        <v>66</v>
      </c>
      <c r="E795" t="s">
        <v>67</v>
      </c>
    </row>
    <row r="796" spans="1:5" x14ac:dyDescent="0.3">
      <c r="A796">
        <v>1003738085</v>
      </c>
      <c r="B796" t="s">
        <v>920</v>
      </c>
      <c r="C796" t="s">
        <v>57</v>
      </c>
      <c r="D796" t="s">
        <v>50</v>
      </c>
      <c r="E796" t="s">
        <v>47</v>
      </c>
    </row>
    <row r="797" spans="1:5" x14ac:dyDescent="0.3">
      <c r="A797">
        <v>1001710835</v>
      </c>
      <c r="B797" t="s">
        <v>921</v>
      </c>
      <c r="C797" t="s">
        <v>126</v>
      </c>
      <c r="D797" t="s">
        <v>255</v>
      </c>
      <c r="E797" t="s">
        <v>47</v>
      </c>
    </row>
    <row r="798" spans="1:5" x14ac:dyDescent="0.3">
      <c r="A798">
        <v>71242635</v>
      </c>
      <c r="B798" t="s">
        <v>922</v>
      </c>
      <c r="C798" t="s">
        <v>52</v>
      </c>
      <c r="D798" t="s">
        <v>46</v>
      </c>
      <c r="E798" t="s">
        <v>47</v>
      </c>
    </row>
    <row r="799" spans="1:5" x14ac:dyDescent="0.3">
      <c r="A799">
        <v>1002084955</v>
      </c>
      <c r="B799" t="s">
        <v>923</v>
      </c>
      <c r="C799" t="s">
        <v>45</v>
      </c>
      <c r="D799" t="s">
        <v>97</v>
      </c>
      <c r="E799" t="s">
        <v>67</v>
      </c>
    </row>
    <row r="800" spans="1:5" x14ac:dyDescent="0.3">
      <c r="A800">
        <v>1001248864</v>
      </c>
      <c r="B800" t="s">
        <v>924</v>
      </c>
      <c r="C800" t="s">
        <v>52</v>
      </c>
      <c r="D800" t="s">
        <v>46</v>
      </c>
      <c r="E800" t="s">
        <v>47</v>
      </c>
    </row>
    <row r="801" spans="1:5" x14ac:dyDescent="0.3">
      <c r="A801">
        <v>1001712880</v>
      </c>
      <c r="B801" t="s">
        <v>925</v>
      </c>
      <c r="C801" t="s">
        <v>126</v>
      </c>
      <c r="D801" t="s">
        <v>255</v>
      </c>
      <c r="E801" t="s">
        <v>47</v>
      </c>
    </row>
    <row r="802" spans="1:5" x14ac:dyDescent="0.3">
      <c r="A802">
        <v>1128266297</v>
      </c>
      <c r="B802" t="s">
        <v>926</v>
      </c>
      <c r="C802" t="s">
        <v>52</v>
      </c>
      <c r="D802" t="s">
        <v>46</v>
      </c>
      <c r="E802" t="s">
        <v>47</v>
      </c>
    </row>
    <row r="803" spans="1:5" x14ac:dyDescent="0.3">
      <c r="A803">
        <v>1045527163</v>
      </c>
      <c r="B803" t="s">
        <v>927</v>
      </c>
      <c r="C803" t="s">
        <v>126</v>
      </c>
      <c r="D803" t="s">
        <v>46</v>
      </c>
      <c r="E803" t="s">
        <v>47</v>
      </c>
    </row>
    <row r="804" spans="1:5" x14ac:dyDescent="0.3">
      <c r="A804">
        <v>1193576138</v>
      </c>
      <c r="B804" t="s">
        <v>928</v>
      </c>
      <c r="C804" t="s">
        <v>126</v>
      </c>
      <c r="D804" t="s">
        <v>46</v>
      </c>
      <c r="E804" t="s">
        <v>47</v>
      </c>
    </row>
    <row r="805" spans="1:5" x14ac:dyDescent="0.3">
      <c r="A805">
        <v>1001031141</v>
      </c>
      <c r="B805" t="s">
        <v>929</v>
      </c>
      <c r="C805" t="s">
        <v>126</v>
      </c>
      <c r="D805" t="s">
        <v>46</v>
      </c>
      <c r="E805" t="s">
        <v>47</v>
      </c>
    </row>
    <row r="806" spans="1:5" x14ac:dyDescent="0.3">
      <c r="A806">
        <v>1083461081</v>
      </c>
      <c r="B806" t="s">
        <v>930</v>
      </c>
      <c r="C806" t="s">
        <v>126</v>
      </c>
      <c r="D806" t="s">
        <v>46</v>
      </c>
      <c r="E806" t="s">
        <v>47</v>
      </c>
    </row>
    <row r="807" spans="1:5" x14ac:dyDescent="0.3">
      <c r="A807">
        <v>8324995</v>
      </c>
      <c r="B807" t="s">
        <v>931</v>
      </c>
      <c r="C807" t="s">
        <v>126</v>
      </c>
      <c r="D807" t="s">
        <v>46</v>
      </c>
      <c r="E807" t="s">
        <v>47</v>
      </c>
    </row>
    <row r="808" spans="1:5" x14ac:dyDescent="0.3">
      <c r="A808">
        <v>1073969484</v>
      </c>
      <c r="B808" t="s">
        <v>932</v>
      </c>
      <c r="C808" t="s">
        <v>126</v>
      </c>
      <c r="D808" t="s">
        <v>66</v>
      </c>
      <c r="E808" t="s">
        <v>67</v>
      </c>
    </row>
    <row r="809" spans="1:5" x14ac:dyDescent="0.3">
      <c r="A809">
        <v>1000461321</v>
      </c>
      <c r="B809" t="s">
        <v>933</v>
      </c>
      <c r="C809" t="s">
        <v>126</v>
      </c>
      <c r="D809" t="s">
        <v>66</v>
      </c>
      <c r="E809" t="s">
        <v>67</v>
      </c>
    </row>
    <row r="810" spans="1:5" x14ac:dyDescent="0.3">
      <c r="A810">
        <v>1046527443</v>
      </c>
      <c r="B810" t="s">
        <v>934</v>
      </c>
      <c r="C810" t="s">
        <v>935</v>
      </c>
      <c r="D810" t="s">
        <v>50</v>
      </c>
      <c r="E810" t="s">
        <v>47</v>
      </c>
    </row>
    <row r="811" spans="1:5" x14ac:dyDescent="0.3">
      <c r="A811">
        <v>1007546419</v>
      </c>
      <c r="B811" t="s">
        <v>936</v>
      </c>
      <c r="C811" t="s">
        <v>935</v>
      </c>
      <c r="D811" t="s">
        <v>77</v>
      </c>
      <c r="E811" t="s">
        <v>47</v>
      </c>
    </row>
    <row r="812" spans="1:5" x14ac:dyDescent="0.3">
      <c r="A812">
        <v>1063284241</v>
      </c>
      <c r="B812" t="s">
        <v>937</v>
      </c>
      <c r="C812" t="s">
        <v>126</v>
      </c>
      <c r="D812" t="s">
        <v>66</v>
      </c>
      <c r="E812" t="s">
        <v>67</v>
      </c>
    </row>
    <row r="813" spans="1:5" x14ac:dyDescent="0.3">
      <c r="A813">
        <v>1001534548</v>
      </c>
      <c r="B813" t="s">
        <v>938</v>
      </c>
      <c r="C813" t="s">
        <v>126</v>
      </c>
      <c r="D813" t="s">
        <v>66</v>
      </c>
      <c r="E813" t="s">
        <v>67</v>
      </c>
    </row>
    <row r="814" spans="1:5" x14ac:dyDescent="0.3">
      <c r="A814">
        <v>1063306990</v>
      </c>
      <c r="B814" t="s">
        <v>939</v>
      </c>
      <c r="C814" t="s">
        <v>52</v>
      </c>
      <c r="D814" t="s">
        <v>66</v>
      </c>
      <c r="E814" t="s">
        <v>67</v>
      </c>
    </row>
    <row r="815" spans="1:5" x14ac:dyDescent="0.3">
      <c r="A815">
        <v>1076320559</v>
      </c>
      <c r="B815" t="s">
        <v>940</v>
      </c>
      <c r="C815" t="s">
        <v>126</v>
      </c>
      <c r="D815" t="s">
        <v>66</v>
      </c>
      <c r="E815" t="s">
        <v>67</v>
      </c>
    </row>
    <row r="816" spans="1:5" x14ac:dyDescent="0.3">
      <c r="A816">
        <v>11001896</v>
      </c>
      <c r="B816" t="s">
        <v>941</v>
      </c>
      <c r="C816" t="s">
        <v>126</v>
      </c>
      <c r="D816" t="s">
        <v>46</v>
      </c>
      <c r="E816" t="s">
        <v>47</v>
      </c>
    </row>
    <row r="817" spans="1:5" x14ac:dyDescent="0.3">
      <c r="A817">
        <v>1028013418</v>
      </c>
      <c r="B817" t="s">
        <v>942</v>
      </c>
      <c r="C817" t="s">
        <v>52</v>
      </c>
      <c r="D817" t="s">
        <v>46</v>
      </c>
      <c r="E817" t="s">
        <v>47</v>
      </c>
    </row>
    <row r="818" spans="1:5" x14ac:dyDescent="0.3">
      <c r="A818">
        <v>1001023568</v>
      </c>
      <c r="B818" t="s">
        <v>943</v>
      </c>
      <c r="C818" t="s">
        <v>126</v>
      </c>
      <c r="D818" t="s">
        <v>46</v>
      </c>
      <c r="E818" t="s">
        <v>47</v>
      </c>
    </row>
    <row r="819" spans="1:5" x14ac:dyDescent="0.3">
      <c r="A819">
        <v>1038128964</v>
      </c>
      <c r="B819" t="s">
        <v>944</v>
      </c>
      <c r="C819" t="s">
        <v>126</v>
      </c>
      <c r="D819" t="s">
        <v>66</v>
      </c>
      <c r="E819" t="s">
        <v>67</v>
      </c>
    </row>
    <row r="820" spans="1:5" x14ac:dyDescent="0.3">
      <c r="A820">
        <v>1001547445</v>
      </c>
      <c r="B820" t="s">
        <v>945</v>
      </c>
      <c r="C820" t="s">
        <v>126</v>
      </c>
      <c r="D820" t="s">
        <v>74</v>
      </c>
      <c r="E820" t="s">
        <v>67</v>
      </c>
    </row>
    <row r="821" spans="1:5" x14ac:dyDescent="0.3">
      <c r="A821">
        <v>1032177959</v>
      </c>
      <c r="B821" t="s">
        <v>946</v>
      </c>
      <c r="C821" t="s">
        <v>126</v>
      </c>
      <c r="D821" t="s">
        <v>46</v>
      </c>
      <c r="E821" t="s">
        <v>47</v>
      </c>
    </row>
    <row r="822" spans="1:5" x14ac:dyDescent="0.3">
      <c r="A822">
        <v>1045491162</v>
      </c>
      <c r="B822" t="s">
        <v>947</v>
      </c>
      <c r="C822" t="s">
        <v>45</v>
      </c>
      <c r="D822" t="s">
        <v>46</v>
      </c>
      <c r="E822" t="s">
        <v>47</v>
      </c>
    </row>
    <row r="823" spans="1:5" x14ac:dyDescent="0.3">
      <c r="A823">
        <v>1028025625</v>
      </c>
      <c r="B823" t="s">
        <v>948</v>
      </c>
      <c r="C823" t="s">
        <v>126</v>
      </c>
      <c r="D823" t="s">
        <v>46</v>
      </c>
      <c r="E823" t="s">
        <v>47</v>
      </c>
    </row>
    <row r="824" spans="1:5" x14ac:dyDescent="0.3">
      <c r="A824">
        <v>1152450582</v>
      </c>
      <c r="B824" t="s">
        <v>949</v>
      </c>
      <c r="C824" t="s">
        <v>126</v>
      </c>
      <c r="D824" t="s">
        <v>46</v>
      </c>
      <c r="E824" t="s">
        <v>47</v>
      </c>
    </row>
    <row r="825" spans="1:5" x14ac:dyDescent="0.3">
      <c r="A825">
        <v>1001503758</v>
      </c>
      <c r="B825" t="s">
        <v>950</v>
      </c>
      <c r="C825" t="s">
        <v>52</v>
      </c>
      <c r="D825" t="s">
        <v>46</v>
      </c>
      <c r="E825" t="s">
        <v>47</v>
      </c>
    </row>
    <row r="826" spans="1:5" x14ac:dyDescent="0.3">
      <c r="A826">
        <v>1045507636</v>
      </c>
      <c r="B826" t="s">
        <v>281</v>
      </c>
      <c r="C826" t="s">
        <v>52</v>
      </c>
      <c r="D826" t="s">
        <v>46</v>
      </c>
      <c r="E826" t="s">
        <v>47</v>
      </c>
    </row>
    <row r="827" spans="1:5" x14ac:dyDescent="0.3">
      <c r="A827">
        <v>8437019</v>
      </c>
      <c r="B827" t="s">
        <v>951</v>
      </c>
      <c r="C827" t="s">
        <v>126</v>
      </c>
      <c r="D827" t="s">
        <v>46</v>
      </c>
      <c r="E827" t="s">
        <v>47</v>
      </c>
    </row>
    <row r="828" spans="1:5" x14ac:dyDescent="0.3">
      <c r="A828">
        <v>71682376</v>
      </c>
      <c r="B828" t="s">
        <v>952</v>
      </c>
      <c r="C828" t="s">
        <v>126</v>
      </c>
      <c r="D828" t="s">
        <v>66</v>
      </c>
      <c r="E828" t="s">
        <v>67</v>
      </c>
    </row>
    <row r="829" spans="1:5" x14ac:dyDescent="0.3">
      <c r="A829">
        <v>71948360</v>
      </c>
      <c r="B829" t="s">
        <v>954</v>
      </c>
      <c r="C829" t="s">
        <v>52</v>
      </c>
      <c r="D829" t="s">
        <v>46</v>
      </c>
      <c r="E829" t="s">
        <v>47</v>
      </c>
    </row>
    <row r="830" spans="1:5" x14ac:dyDescent="0.3">
      <c r="A830">
        <v>1033658114</v>
      </c>
      <c r="B830" t="s">
        <v>955</v>
      </c>
      <c r="C830" t="s">
        <v>52</v>
      </c>
      <c r="D830" t="s">
        <v>46</v>
      </c>
      <c r="E830" t="s">
        <v>47</v>
      </c>
    </row>
    <row r="831" spans="1:5" x14ac:dyDescent="0.3">
      <c r="A831">
        <v>1146434628</v>
      </c>
      <c r="B831" t="s">
        <v>956</v>
      </c>
      <c r="C831" t="s">
        <v>126</v>
      </c>
      <c r="D831" t="s">
        <v>46</v>
      </c>
      <c r="E831" t="s">
        <v>47</v>
      </c>
    </row>
    <row r="832" spans="1:5" x14ac:dyDescent="0.3">
      <c r="A832">
        <v>73196103</v>
      </c>
      <c r="B832" t="s">
        <v>957</v>
      </c>
      <c r="C832" t="s">
        <v>126</v>
      </c>
      <c r="D832" t="s">
        <v>50</v>
      </c>
      <c r="E832" t="s">
        <v>47</v>
      </c>
    </row>
    <row r="833" spans="1:5" x14ac:dyDescent="0.3">
      <c r="A833">
        <v>1007738585</v>
      </c>
      <c r="B833" t="s">
        <v>958</v>
      </c>
      <c r="C833" t="s">
        <v>126</v>
      </c>
      <c r="D833" t="s">
        <v>46</v>
      </c>
      <c r="E833" t="s">
        <v>47</v>
      </c>
    </row>
    <row r="834" spans="1:5" x14ac:dyDescent="0.3">
      <c r="A834">
        <v>1193366886</v>
      </c>
      <c r="B834" t="s">
        <v>959</v>
      </c>
      <c r="C834" t="s">
        <v>126</v>
      </c>
      <c r="D834" t="s">
        <v>85</v>
      </c>
      <c r="E834" t="s">
        <v>67</v>
      </c>
    </row>
    <row r="835" spans="1:5" x14ac:dyDescent="0.3">
      <c r="A835">
        <v>1040491322</v>
      </c>
      <c r="B835" t="s">
        <v>960</v>
      </c>
      <c r="C835" t="s">
        <v>126</v>
      </c>
      <c r="D835" t="s">
        <v>66</v>
      </c>
      <c r="E835" t="s">
        <v>67</v>
      </c>
    </row>
    <row r="836" spans="1:5" x14ac:dyDescent="0.3">
      <c r="A836">
        <v>52986257</v>
      </c>
      <c r="B836" t="s">
        <v>961</v>
      </c>
      <c r="C836" t="s">
        <v>126</v>
      </c>
      <c r="D836" t="s">
        <v>66</v>
      </c>
      <c r="E836" t="s">
        <v>67</v>
      </c>
    </row>
    <row r="837" spans="1:5" x14ac:dyDescent="0.3">
      <c r="A837">
        <v>15307071</v>
      </c>
      <c r="B837" t="s">
        <v>962</v>
      </c>
      <c r="C837" t="s">
        <v>52</v>
      </c>
      <c r="D837" t="s">
        <v>66</v>
      </c>
      <c r="E837" t="s">
        <v>67</v>
      </c>
    </row>
    <row r="838" spans="1:5" x14ac:dyDescent="0.3">
      <c r="A838">
        <v>1038120481</v>
      </c>
      <c r="B838" t="s">
        <v>963</v>
      </c>
      <c r="C838" t="s">
        <v>126</v>
      </c>
      <c r="D838" t="s">
        <v>66</v>
      </c>
      <c r="E838" t="s">
        <v>67</v>
      </c>
    </row>
    <row r="839" spans="1:5" x14ac:dyDescent="0.3">
      <c r="A839">
        <v>8324965</v>
      </c>
      <c r="B839" t="s">
        <v>964</v>
      </c>
      <c r="C839" t="s">
        <v>52</v>
      </c>
      <c r="D839" t="s">
        <v>46</v>
      </c>
      <c r="E839" t="s">
        <v>47</v>
      </c>
    </row>
    <row r="840" spans="1:5" x14ac:dyDescent="0.3">
      <c r="A840">
        <v>1007747932</v>
      </c>
      <c r="B840" t="s">
        <v>965</v>
      </c>
      <c r="C840" t="s">
        <v>57</v>
      </c>
      <c r="D840" t="s">
        <v>50</v>
      </c>
      <c r="E840" t="s">
        <v>47</v>
      </c>
    </row>
    <row r="841" spans="1:5" x14ac:dyDescent="0.3">
      <c r="A841">
        <v>1045519517</v>
      </c>
      <c r="B841" t="s">
        <v>966</v>
      </c>
      <c r="C841" t="s">
        <v>126</v>
      </c>
      <c r="D841" t="s">
        <v>46</v>
      </c>
      <c r="E841" t="s">
        <v>47</v>
      </c>
    </row>
    <row r="842" spans="1:5" x14ac:dyDescent="0.3">
      <c r="A842">
        <v>1192781889</v>
      </c>
      <c r="B842" t="s">
        <v>967</v>
      </c>
      <c r="C842" t="s">
        <v>126</v>
      </c>
      <c r="D842" t="s">
        <v>46</v>
      </c>
      <c r="E842" t="s">
        <v>47</v>
      </c>
    </row>
    <row r="843" spans="1:5" x14ac:dyDescent="0.3">
      <c r="A843">
        <v>1028025272</v>
      </c>
      <c r="B843" t="s">
        <v>968</v>
      </c>
      <c r="C843" t="s">
        <v>126</v>
      </c>
      <c r="D843" t="s">
        <v>46</v>
      </c>
      <c r="E843" t="s">
        <v>47</v>
      </c>
    </row>
    <row r="844" spans="1:5" x14ac:dyDescent="0.3">
      <c r="A844">
        <v>1033374782</v>
      </c>
      <c r="B844" t="s">
        <v>970</v>
      </c>
      <c r="C844" t="s">
        <v>126</v>
      </c>
      <c r="D844" t="s">
        <v>46</v>
      </c>
      <c r="E844" t="s">
        <v>47</v>
      </c>
    </row>
    <row r="845" spans="1:5" x14ac:dyDescent="0.3">
      <c r="A845">
        <v>1062676442</v>
      </c>
      <c r="B845" t="s">
        <v>971</v>
      </c>
      <c r="C845" t="s">
        <v>126</v>
      </c>
      <c r="D845" t="s">
        <v>46</v>
      </c>
      <c r="E845" t="s">
        <v>47</v>
      </c>
    </row>
    <row r="846" spans="1:5" x14ac:dyDescent="0.3">
      <c r="A846">
        <v>8049136</v>
      </c>
      <c r="B846" t="s">
        <v>972</v>
      </c>
      <c r="C846" t="s">
        <v>126</v>
      </c>
      <c r="D846" t="s">
        <v>66</v>
      </c>
      <c r="E846" t="s">
        <v>67</v>
      </c>
    </row>
    <row r="847" spans="1:5" x14ac:dyDescent="0.3">
      <c r="A847">
        <v>1045417808</v>
      </c>
      <c r="B847" t="s">
        <v>973</v>
      </c>
      <c r="C847" t="s">
        <v>177</v>
      </c>
      <c r="D847" t="s">
        <v>97</v>
      </c>
      <c r="E847" t="s">
        <v>67</v>
      </c>
    </row>
    <row r="848" spans="1:5" x14ac:dyDescent="0.3">
      <c r="A848">
        <v>1063285260</v>
      </c>
      <c r="B848" t="s">
        <v>974</v>
      </c>
      <c r="C848" t="s">
        <v>177</v>
      </c>
      <c r="D848" t="s">
        <v>85</v>
      </c>
      <c r="E848" t="s">
        <v>67</v>
      </c>
    </row>
    <row r="849" spans="1:5" x14ac:dyDescent="0.3">
      <c r="A849">
        <v>1007515992</v>
      </c>
      <c r="B849" t="s">
        <v>975</v>
      </c>
      <c r="C849" t="s">
        <v>126</v>
      </c>
      <c r="D849" t="s">
        <v>85</v>
      </c>
      <c r="E849" t="s">
        <v>67</v>
      </c>
    </row>
    <row r="850" spans="1:5" x14ac:dyDescent="0.3">
      <c r="A850">
        <v>1193384464</v>
      </c>
      <c r="B850" t="s">
        <v>976</v>
      </c>
      <c r="C850" t="s">
        <v>126</v>
      </c>
      <c r="D850" t="s">
        <v>85</v>
      </c>
      <c r="E850" t="s">
        <v>67</v>
      </c>
    </row>
    <row r="851" spans="1:5" x14ac:dyDescent="0.3">
      <c r="A851">
        <v>1045428512</v>
      </c>
      <c r="B851" t="s">
        <v>977</v>
      </c>
      <c r="C851" t="s">
        <v>126</v>
      </c>
      <c r="D851" t="s">
        <v>97</v>
      </c>
      <c r="E851" t="s">
        <v>67</v>
      </c>
    </row>
    <row r="852" spans="1:5" x14ac:dyDescent="0.3">
      <c r="A852">
        <v>1028022041</v>
      </c>
      <c r="B852" t="s">
        <v>978</v>
      </c>
      <c r="C852" t="s">
        <v>45</v>
      </c>
      <c r="D852" t="s">
        <v>46</v>
      </c>
      <c r="E852" t="s">
        <v>47</v>
      </c>
    </row>
    <row r="853" spans="1:5" x14ac:dyDescent="0.3">
      <c r="A853">
        <v>1032178270</v>
      </c>
      <c r="B853" t="s">
        <v>979</v>
      </c>
      <c r="C853" t="s">
        <v>45</v>
      </c>
      <c r="D853" t="s">
        <v>46</v>
      </c>
      <c r="E853" t="s">
        <v>47</v>
      </c>
    </row>
    <row r="854" spans="1:5" x14ac:dyDescent="0.3">
      <c r="A854">
        <v>1045527373</v>
      </c>
      <c r="B854" t="s">
        <v>980</v>
      </c>
      <c r="C854" t="s">
        <v>762</v>
      </c>
      <c r="D854" t="s">
        <v>50</v>
      </c>
      <c r="E854" t="s">
        <v>47</v>
      </c>
    </row>
    <row r="855" spans="1:5" x14ac:dyDescent="0.3">
      <c r="A855">
        <v>1018226401</v>
      </c>
      <c r="B855" t="s">
        <v>981</v>
      </c>
      <c r="C855" t="s">
        <v>126</v>
      </c>
      <c r="D855" t="s">
        <v>46</v>
      </c>
      <c r="E855" t="s">
        <v>47</v>
      </c>
    </row>
    <row r="856" spans="1:5" x14ac:dyDescent="0.3">
      <c r="A856">
        <v>1045493346</v>
      </c>
      <c r="B856" t="s">
        <v>982</v>
      </c>
      <c r="C856" t="s">
        <v>126</v>
      </c>
      <c r="D856" t="s">
        <v>46</v>
      </c>
      <c r="E856" t="s">
        <v>47</v>
      </c>
    </row>
    <row r="857" spans="1:5" x14ac:dyDescent="0.3">
      <c r="A857">
        <v>78115900</v>
      </c>
      <c r="B857" t="s">
        <v>983</v>
      </c>
      <c r="C857" t="s">
        <v>126</v>
      </c>
      <c r="D857" t="s">
        <v>22</v>
      </c>
      <c r="E857" t="s">
        <v>47</v>
      </c>
    </row>
    <row r="858" spans="1:5" x14ac:dyDescent="0.3">
      <c r="A858">
        <v>1028025732</v>
      </c>
      <c r="B858" t="s">
        <v>878</v>
      </c>
      <c r="C858" t="s">
        <v>126</v>
      </c>
      <c r="D858" t="s">
        <v>131</v>
      </c>
      <c r="E858" t="s">
        <v>47</v>
      </c>
    </row>
    <row r="859" spans="1:5" x14ac:dyDescent="0.3">
      <c r="A859">
        <v>1193102418</v>
      </c>
      <c r="B859" t="s">
        <v>984</v>
      </c>
      <c r="C859" t="s">
        <v>52</v>
      </c>
      <c r="D859" t="s">
        <v>50</v>
      </c>
      <c r="E859" t="s">
        <v>47</v>
      </c>
    </row>
    <row r="860" spans="1:5" x14ac:dyDescent="0.3">
      <c r="A860">
        <v>1063301292</v>
      </c>
      <c r="B860" t="s">
        <v>985</v>
      </c>
      <c r="C860" t="s">
        <v>52</v>
      </c>
      <c r="D860" t="s">
        <v>66</v>
      </c>
      <c r="E860" t="s">
        <v>67</v>
      </c>
    </row>
    <row r="861" spans="1:5" x14ac:dyDescent="0.3">
      <c r="A861">
        <v>1001597426</v>
      </c>
      <c r="B861" t="s">
        <v>986</v>
      </c>
      <c r="C861" t="s">
        <v>126</v>
      </c>
      <c r="D861" t="s">
        <v>46</v>
      </c>
      <c r="E861" t="s">
        <v>47</v>
      </c>
    </row>
    <row r="862" spans="1:5" x14ac:dyDescent="0.3">
      <c r="A862">
        <v>1038478069</v>
      </c>
      <c r="B862" t="s">
        <v>988</v>
      </c>
      <c r="C862" t="s">
        <v>126</v>
      </c>
      <c r="D862" t="s">
        <v>66</v>
      </c>
      <c r="E862" t="s">
        <v>67</v>
      </c>
    </row>
    <row r="863" spans="1:5" x14ac:dyDescent="0.3">
      <c r="A863">
        <v>1038107038</v>
      </c>
      <c r="B863" t="s">
        <v>989</v>
      </c>
      <c r="C863" t="s">
        <v>126</v>
      </c>
      <c r="D863" t="s">
        <v>66</v>
      </c>
      <c r="E863" t="s">
        <v>67</v>
      </c>
    </row>
    <row r="864" spans="1:5" x14ac:dyDescent="0.3">
      <c r="A864">
        <v>1129501179</v>
      </c>
      <c r="B864" t="s">
        <v>990</v>
      </c>
      <c r="C864" t="s">
        <v>126</v>
      </c>
      <c r="D864" t="s">
        <v>66</v>
      </c>
      <c r="E864" t="s">
        <v>67</v>
      </c>
    </row>
    <row r="865" spans="1:5" x14ac:dyDescent="0.3">
      <c r="A865">
        <v>1088302821</v>
      </c>
      <c r="B865" t="s">
        <v>993</v>
      </c>
      <c r="C865" t="s">
        <v>52</v>
      </c>
      <c r="D865" t="s">
        <v>50</v>
      </c>
      <c r="E865" t="s">
        <v>47</v>
      </c>
    </row>
    <row r="866" spans="1:5" x14ac:dyDescent="0.3">
      <c r="A866">
        <v>1096802632</v>
      </c>
      <c r="B866" t="s">
        <v>994</v>
      </c>
      <c r="C866" t="s">
        <v>126</v>
      </c>
      <c r="D866" t="s">
        <v>46</v>
      </c>
      <c r="E866" t="s">
        <v>47</v>
      </c>
    </row>
    <row r="867" spans="1:5" x14ac:dyDescent="0.3">
      <c r="A867">
        <v>1028043100</v>
      </c>
      <c r="B867" t="s">
        <v>995</v>
      </c>
      <c r="C867" t="s">
        <v>126</v>
      </c>
      <c r="D867" t="s">
        <v>46</v>
      </c>
      <c r="E867" t="s">
        <v>47</v>
      </c>
    </row>
    <row r="868" spans="1:5" x14ac:dyDescent="0.3">
      <c r="A868">
        <v>1045518080</v>
      </c>
      <c r="B868" t="s">
        <v>996</v>
      </c>
      <c r="C868" t="s">
        <v>768</v>
      </c>
      <c r="D868" t="s">
        <v>50</v>
      </c>
      <c r="E868" t="s">
        <v>47</v>
      </c>
    </row>
    <row r="869" spans="1:5" x14ac:dyDescent="0.3">
      <c r="A869">
        <v>1045516816</v>
      </c>
      <c r="B869" t="s">
        <v>997</v>
      </c>
      <c r="C869" t="s">
        <v>45</v>
      </c>
      <c r="D869" t="s">
        <v>50</v>
      </c>
      <c r="E869" t="s">
        <v>47</v>
      </c>
    </row>
    <row r="870" spans="1:5" x14ac:dyDescent="0.3">
      <c r="A870">
        <v>1033377286</v>
      </c>
      <c r="B870" t="s">
        <v>998</v>
      </c>
      <c r="C870" t="s">
        <v>138</v>
      </c>
      <c r="D870" t="s">
        <v>22</v>
      </c>
      <c r="E870" t="s">
        <v>47</v>
      </c>
    </row>
    <row r="871" spans="1:5" x14ac:dyDescent="0.3">
      <c r="A871">
        <v>1073980028</v>
      </c>
      <c r="B871" t="s">
        <v>1000</v>
      </c>
      <c r="C871" t="s">
        <v>1001</v>
      </c>
      <c r="D871" t="s">
        <v>50</v>
      </c>
      <c r="E871" t="s">
        <v>47</v>
      </c>
    </row>
    <row r="872" spans="1:5" x14ac:dyDescent="0.3">
      <c r="A872">
        <v>8324343</v>
      </c>
      <c r="B872" t="s">
        <v>1005</v>
      </c>
      <c r="C872" t="s">
        <v>52</v>
      </c>
      <c r="D872" t="s">
        <v>46</v>
      </c>
      <c r="E872" t="s">
        <v>47</v>
      </c>
    </row>
    <row r="873" spans="1:5" x14ac:dyDescent="0.3">
      <c r="A873">
        <v>1045518801</v>
      </c>
      <c r="B873" t="s">
        <v>1006</v>
      </c>
      <c r="C873" t="s">
        <v>45</v>
      </c>
      <c r="D873" t="s">
        <v>46</v>
      </c>
      <c r="E873" t="s">
        <v>47</v>
      </c>
    </row>
    <row r="874" spans="1:5" x14ac:dyDescent="0.3">
      <c r="A874">
        <v>1003049071</v>
      </c>
      <c r="B874" t="s">
        <v>1007</v>
      </c>
      <c r="C874" t="s">
        <v>45</v>
      </c>
      <c r="D874" t="s">
        <v>46</v>
      </c>
      <c r="E874" t="s">
        <v>47</v>
      </c>
    </row>
    <row r="875" spans="1:5" x14ac:dyDescent="0.3">
      <c r="A875">
        <v>1001550167</v>
      </c>
      <c r="B875" t="s">
        <v>1008</v>
      </c>
      <c r="C875" t="s">
        <v>45</v>
      </c>
      <c r="D875" t="s">
        <v>74</v>
      </c>
      <c r="E875" t="s">
        <v>67</v>
      </c>
    </row>
    <row r="876" spans="1:5" x14ac:dyDescent="0.3">
      <c r="A876">
        <v>1007560948</v>
      </c>
      <c r="B876" t="s">
        <v>1009</v>
      </c>
      <c r="C876" t="s">
        <v>45</v>
      </c>
      <c r="D876" t="s">
        <v>66</v>
      </c>
      <c r="E876" t="s">
        <v>67</v>
      </c>
    </row>
  </sheetData>
  <autoFilter ref="A1:F876" xr:uid="{00000000-0001-0000-0200-000000000000}"/>
  <conditionalFormatting sqref="A677">
    <cfRule type="duplicateValues" dxfId="15" priority="16"/>
  </conditionalFormatting>
  <conditionalFormatting sqref="A677">
    <cfRule type="duplicateValues" dxfId="14" priority="15"/>
  </conditionalFormatting>
  <conditionalFormatting sqref="A677">
    <cfRule type="duplicateValues" dxfId="13" priority="13"/>
    <cfRule type="duplicateValues" dxfId="12" priority="14"/>
  </conditionalFormatting>
  <conditionalFormatting sqref="A677">
    <cfRule type="duplicateValues" dxfId="11" priority="12"/>
  </conditionalFormatting>
  <conditionalFormatting sqref="A677">
    <cfRule type="duplicateValues" dxfId="10" priority="11"/>
  </conditionalFormatting>
  <conditionalFormatting sqref="A677">
    <cfRule type="duplicateValues" dxfId="9" priority="9"/>
    <cfRule type="duplicateValues" dxfId="8" priority="10"/>
  </conditionalFormatting>
  <conditionalFormatting sqref="A677">
    <cfRule type="duplicateValues" dxfId="7" priority="8"/>
  </conditionalFormatting>
  <conditionalFormatting sqref="A677">
    <cfRule type="duplicateValues" dxfId="6" priority="7"/>
  </conditionalFormatting>
  <conditionalFormatting sqref="A677">
    <cfRule type="duplicateValues" dxfId="5" priority="5"/>
    <cfRule type="duplicateValues" dxfId="4" priority="6"/>
  </conditionalFormatting>
  <conditionalFormatting sqref="A677">
    <cfRule type="duplicateValues" dxfId="3" priority="4"/>
  </conditionalFormatting>
  <conditionalFormatting sqref="A677">
    <cfRule type="duplicateValues" dxfId="2" priority="3"/>
  </conditionalFormatting>
  <conditionalFormatting sqref="A677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15B4-5F54-41B7-B32C-BE0A13A40561}">
  <dimension ref="A1"/>
  <sheetViews>
    <sheetView workbookViewId="0">
      <selection activeCell="A2" sqref="A2"/>
    </sheetView>
  </sheetViews>
  <sheetFormatPr baseColWidth="10"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57345-87B9-451A-B3CE-3398A1C1728B}">
  <sheetPr filterMode="1"/>
  <dimension ref="A1:E43"/>
  <sheetViews>
    <sheetView tabSelected="1" workbookViewId="0">
      <selection activeCell="D9" sqref="D9:D40"/>
    </sheetView>
  </sheetViews>
  <sheetFormatPr baseColWidth="10" defaultRowHeight="14.4" x14ac:dyDescent="0.3"/>
  <cols>
    <col min="2" max="2" width="35.44140625" bestFit="1" customWidth="1"/>
    <col min="3" max="3" width="37.44140625" bestFit="1" customWidth="1"/>
    <col min="4" max="4" width="25.109375" bestFit="1" customWidth="1"/>
    <col min="5" max="5" width="11.44140625" bestFit="1" customWidth="1"/>
  </cols>
  <sheetData>
    <row r="1" spans="1:5" x14ac:dyDescent="0.3">
      <c r="A1" s="50" t="s">
        <v>1017</v>
      </c>
      <c r="B1" s="50" t="s">
        <v>13</v>
      </c>
      <c r="C1" s="50" t="s">
        <v>14</v>
      </c>
      <c r="D1" s="50" t="s">
        <v>17</v>
      </c>
      <c r="E1" s="50" t="s">
        <v>43</v>
      </c>
    </row>
    <row r="2" spans="1:5" hidden="1" x14ac:dyDescent="0.3">
      <c r="A2">
        <v>1027965062</v>
      </c>
      <c r="B2" t="s">
        <v>137</v>
      </c>
      <c r="C2" t="s">
        <v>138</v>
      </c>
      <c r="D2" t="s">
        <v>46</v>
      </c>
      <c r="E2" t="s">
        <v>47</v>
      </c>
    </row>
    <row r="3" spans="1:5" hidden="1" x14ac:dyDescent="0.3">
      <c r="A3">
        <v>1028000552</v>
      </c>
      <c r="B3" t="s">
        <v>141</v>
      </c>
      <c r="C3" t="s">
        <v>138</v>
      </c>
      <c r="D3" t="s">
        <v>50</v>
      </c>
      <c r="E3" t="s">
        <v>47</v>
      </c>
    </row>
    <row r="4" spans="1:5" hidden="1" x14ac:dyDescent="0.3">
      <c r="A4">
        <v>1028028558</v>
      </c>
      <c r="B4" t="s">
        <v>166</v>
      </c>
      <c r="C4" t="s">
        <v>167</v>
      </c>
      <c r="D4" t="s">
        <v>46</v>
      </c>
      <c r="E4" t="s">
        <v>47</v>
      </c>
    </row>
    <row r="5" spans="1:5" hidden="1" x14ac:dyDescent="0.3">
      <c r="A5">
        <v>1032250306</v>
      </c>
      <c r="B5" t="s">
        <v>176</v>
      </c>
      <c r="C5" t="s">
        <v>177</v>
      </c>
      <c r="D5" t="s">
        <v>71</v>
      </c>
      <c r="E5" t="s">
        <v>67</v>
      </c>
    </row>
    <row r="6" spans="1:5" hidden="1" x14ac:dyDescent="0.3">
      <c r="A6">
        <v>1033366519</v>
      </c>
      <c r="B6" t="s">
        <v>182</v>
      </c>
      <c r="C6" t="s">
        <v>183</v>
      </c>
      <c r="D6" t="s">
        <v>61</v>
      </c>
      <c r="E6" t="s">
        <v>47</v>
      </c>
    </row>
    <row r="7" spans="1:5" hidden="1" x14ac:dyDescent="0.3">
      <c r="A7">
        <v>1037480410</v>
      </c>
      <c r="B7" t="s">
        <v>194</v>
      </c>
      <c r="C7" t="s">
        <v>195</v>
      </c>
      <c r="D7" t="s">
        <v>101</v>
      </c>
      <c r="E7" t="s">
        <v>67</v>
      </c>
    </row>
    <row r="8" spans="1:5" hidden="1" x14ac:dyDescent="0.3">
      <c r="A8">
        <v>1038098639</v>
      </c>
      <c r="B8" t="s">
        <v>206</v>
      </c>
      <c r="C8" t="s">
        <v>207</v>
      </c>
      <c r="D8" t="s">
        <v>74</v>
      </c>
      <c r="E8" t="s">
        <v>67</v>
      </c>
    </row>
    <row r="9" spans="1:5" x14ac:dyDescent="0.3">
      <c r="A9">
        <v>1038113000</v>
      </c>
      <c r="B9" t="s">
        <v>215</v>
      </c>
      <c r="C9" t="s">
        <v>167</v>
      </c>
      <c r="D9" t="s">
        <v>66</v>
      </c>
      <c r="E9" t="s">
        <v>67</v>
      </c>
    </row>
    <row r="10" spans="1:5" x14ac:dyDescent="0.3">
      <c r="A10">
        <v>1038133744</v>
      </c>
      <c r="B10" t="s">
        <v>228</v>
      </c>
      <c r="C10" t="s">
        <v>177</v>
      </c>
      <c r="D10" t="s">
        <v>66</v>
      </c>
      <c r="E10" t="s">
        <v>67</v>
      </c>
    </row>
    <row r="11" spans="1:5" hidden="1" x14ac:dyDescent="0.3">
      <c r="A11">
        <v>1040802416</v>
      </c>
      <c r="B11" t="s">
        <v>253</v>
      </c>
      <c r="C11" t="s">
        <v>254</v>
      </c>
      <c r="D11" t="s">
        <v>255</v>
      </c>
      <c r="E11" t="s">
        <v>47</v>
      </c>
    </row>
    <row r="12" spans="1:5" hidden="1" x14ac:dyDescent="0.3">
      <c r="A12">
        <v>1045416925</v>
      </c>
      <c r="B12" t="s">
        <v>1016</v>
      </c>
      <c r="C12" t="s">
        <v>254</v>
      </c>
      <c r="D12" t="s">
        <v>71</v>
      </c>
      <c r="E12" t="s">
        <v>67</v>
      </c>
    </row>
    <row r="13" spans="1:5" hidden="1" x14ac:dyDescent="0.3">
      <c r="A13">
        <v>1045499110</v>
      </c>
      <c r="B13" t="s">
        <v>276</v>
      </c>
      <c r="C13" t="s">
        <v>177</v>
      </c>
      <c r="D13" t="s">
        <v>50</v>
      </c>
      <c r="E13" t="s">
        <v>47</v>
      </c>
    </row>
    <row r="14" spans="1:5" hidden="1" x14ac:dyDescent="0.3">
      <c r="A14">
        <v>1045516249</v>
      </c>
      <c r="B14" t="s">
        <v>291</v>
      </c>
      <c r="C14" t="s">
        <v>292</v>
      </c>
      <c r="D14" t="s">
        <v>50</v>
      </c>
      <c r="E14" t="s">
        <v>47</v>
      </c>
    </row>
    <row r="15" spans="1:5" hidden="1" x14ac:dyDescent="0.3">
      <c r="A15">
        <v>1068584870</v>
      </c>
      <c r="B15" t="s">
        <v>333</v>
      </c>
      <c r="C15" t="s">
        <v>334</v>
      </c>
      <c r="D15" t="s">
        <v>58</v>
      </c>
      <c r="E15" t="s">
        <v>47</v>
      </c>
    </row>
    <row r="16" spans="1:5" hidden="1" x14ac:dyDescent="0.3">
      <c r="A16">
        <v>1077451150</v>
      </c>
      <c r="B16" t="s">
        <v>343</v>
      </c>
      <c r="C16" t="s">
        <v>254</v>
      </c>
      <c r="D16" t="s">
        <v>131</v>
      </c>
      <c r="E16" t="s">
        <v>47</v>
      </c>
    </row>
    <row r="17" spans="1:5" hidden="1" x14ac:dyDescent="0.3">
      <c r="A17">
        <v>10781904</v>
      </c>
      <c r="B17" t="s">
        <v>345</v>
      </c>
      <c r="C17" t="s">
        <v>346</v>
      </c>
      <c r="D17" t="s">
        <v>88</v>
      </c>
      <c r="E17" t="s">
        <v>89</v>
      </c>
    </row>
    <row r="18" spans="1:5" hidden="1" x14ac:dyDescent="0.3">
      <c r="A18">
        <v>42657055</v>
      </c>
      <c r="B18" t="s">
        <v>429</v>
      </c>
      <c r="C18" t="s">
        <v>207</v>
      </c>
      <c r="D18" t="s">
        <v>22</v>
      </c>
      <c r="E18" t="s">
        <v>47</v>
      </c>
    </row>
    <row r="19" spans="1:5" hidden="1" x14ac:dyDescent="0.3">
      <c r="A19">
        <v>43823471</v>
      </c>
      <c r="B19" t="s">
        <v>432</v>
      </c>
      <c r="C19" t="s">
        <v>207</v>
      </c>
      <c r="D19" t="s">
        <v>193</v>
      </c>
      <c r="E19" t="s">
        <v>47</v>
      </c>
    </row>
    <row r="20" spans="1:5" hidden="1" x14ac:dyDescent="0.3">
      <c r="A20">
        <v>70530105</v>
      </c>
      <c r="B20" t="s">
        <v>445</v>
      </c>
      <c r="C20" t="s">
        <v>254</v>
      </c>
      <c r="D20" t="s">
        <v>77</v>
      </c>
      <c r="E20" t="s">
        <v>47</v>
      </c>
    </row>
    <row r="21" spans="1:5" x14ac:dyDescent="0.3">
      <c r="A21">
        <v>71799814</v>
      </c>
      <c r="B21" t="s">
        <v>463</v>
      </c>
      <c r="C21" t="s">
        <v>138</v>
      </c>
      <c r="D21" t="s">
        <v>66</v>
      </c>
      <c r="E21" t="s">
        <v>67</v>
      </c>
    </row>
    <row r="22" spans="1:5" hidden="1" x14ac:dyDescent="0.3">
      <c r="A22">
        <v>78709083</v>
      </c>
      <c r="B22" t="s">
        <v>484</v>
      </c>
      <c r="C22" t="s">
        <v>485</v>
      </c>
      <c r="D22" t="s">
        <v>46</v>
      </c>
      <c r="E22" t="s">
        <v>47</v>
      </c>
    </row>
    <row r="23" spans="1:5" hidden="1" x14ac:dyDescent="0.3">
      <c r="A23" s="86">
        <v>8173813</v>
      </c>
      <c r="B23" s="86" t="s">
        <v>502</v>
      </c>
      <c r="C23" s="86" t="s">
        <v>177</v>
      </c>
      <c r="D23" s="86" t="s">
        <v>503</v>
      </c>
      <c r="E23" s="86" t="s">
        <v>47</v>
      </c>
    </row>
    <row r="24" spans="1:5" hidden="1" x14ac:dyDescent="0.3">
      <c r="A24">
        <v>8323538</v>
      </c>
      <c r="B24" t="s">
        <v>508</v>
      </c>
      <c r="C24" t="s">
        <v>167</v>
      </c>
      <c r="D24" t="s">
        <v>46</v>
      </c>
      <c r="E24" t="s">
        <v>47</v>
      </c>
    </row>
    <row r="25" spans="1:5" hidden="1" x14ac:dyDescent="0.3">
      <c r="A25">
        <v>1007494464</v>
      </c>
      <c r="B25" t="s">
        <v>536</v>
      </c>
      <c r="C25" t="s">
        <v>537</v>
      </c>
      <c r="D25" t="s">
        <v>85</v>
      </c>
      <c r="E25" t="s">
        <v>67</v>
      </c>
    </row>
    <row r="26" spans="1:5" x14ac:dyDescent="0.3">
      <c r="A26">
        <v>1007444844</v>
      </c>
      <c r="B26" t="s">
        <v>540</v>
      </c>
      <c r="C26" t="s">
        <v>537</v>
      </c>
      <c r="D26" t="s">
        <v>66</v>
      </c>
      <c r="E26" t="s">
        <v>67</v>
      </c>
    </row>
    <row r="27" spans="1:5" hidden="1" x14ac:dyDescent="0.3">
      <c r="A27">
        <v>1028007386</v>
      </c>
      <c r="B27" t="s">
        <v>554</v>
      </c>
      <c r="C27" t="s">
        <v>537</v>
      </c>
      <c r="D27" t="s">
        <v>46</v>
      </c>
      <c r="E27" t="s">
        <v>47</v>
      </c>
    </row>
    <row r="28" spans="1:5" hidden="1" x14ac:dyDescent="0.3">
      <c r="A28">
        <v>1007397984</v>
      </c>
      <c r="B28" t="s">
        <v>574</v>
      </c>
      <c r="C28" t="s">
        <v>537</v>
      </c>
      <c r="D28" t="s">
        <v>46</v>
      </c>
      <c r="E28" t="s">
        <v>47</v>
      </c>
    </row>
    <row r="29" spans="1:5" hidden="1" x14ac:dyDescent="0.3">
      <c r="A29" s="86">
        <v>1041266718</v>
      </c>
      <c r="B29" s="86" t="s">
        <v>576</v>
      </c>
      <c r="C29" s="86" t="s">
        <v>537</v>
      </c>
      <c r="D29" s="86" t="s">
        <v>251</v>
      </c>
      <c r="E29" s="86" t="s">
        <v>47</v>
      </c>
    </row>
    <row r="30" spans="1:5" hidden="1" x14ac:dyDescent="0.3">
      <c r="A30">
        <v>70528770</v>
      </c>
      <c r="B30" t="s">
        <v>594</v>
      </c>
      <c r="C30" t="s">
        <v>537</v>
      </c>
      <c r="D30" t="s">
        <v>22</v>
      </c>
      <c r="E30" t="s">
        <v>47</v>
      </c>
    </row>
    <row r="31" spans="1:5" x14ac:dyDescent="0.3">
      <c r="A31">
        <v>1038124202</v>
      </c>
      <c r="B31" t="s">
        <v>632</v>
      </c>
      <c r="C31" t="s">
        <v>537</v>
      </c>
      <c r="D31" t="s">
        <v>66</v>
      </c>
      <c r="E31" t="s">
        <v>67</v>
      </c>
    </row>
    <row r="32" spans="1:5" hidden="1" x14ac:dyDescent="0.3">
      <c r="A32" s="86">
        <v>1041262724</v>
      </c>
      <c r="B32" s="86" t="s">
        <v>646</v>
      </c>
      <c r="C32" s="86" t="s">
        <v>138</v>
      </c>
      <c r="D32" s="86" t="s">
        <v>251</v>
      </c>
      <c r="E32" s="86" t="s">
        <v>647</v>
      </c>
    </row>
    <row r="33" spans="1:5" hidden="1" x14ac:dyDescent="0.3">
      <c r="A33">
        <v>1028024883</v>
      </c>
      <c r="B33" t="s">
        <v>652</v>
      </c>
      <c r="C33" t="s">
        <v>138</v>
      </c>
      <c r="D33" t="s">
        <v>46</v>
      </c>
      <c r="E33" t="s">
        <v>47</v>
      </c>
    </row>
    <row r="34" spans="1:5" hidden="1" x14ac:dyDescent="0.3">
      <c r="A34">
        <v>1040370133</v>
      </c>
      <c r="B34" t="s">
        <v>653</v>
      </c>
      <c r="C34" t="s">
        <v>138</v>
      </c>
      <c r="D34" t="s">
        <v>46</v>
      </c>
      <c r="E34" t="s">
        <v>47</v>
      </c>
    </row>
    <row r="35" spans="1:5" x14ac:dyDescent="0.3">
      <c r="A35">
        <v>1038126501</v>
      </c>
      <c r="B35" t="s">
        <v>715</v>
      </c>
      <c r="C35" t="s">
        <v>537</v>
      </c>
      <c r="D35" t="s">
        <v>66</v>
      </c>
      <c r="E35" t="s">
        <v>67</v>
      </c>
    </row>
    <row r="36" spans="1:5" hidden="1" x14ac:dyDescent="0.3">
      <c r="A36">
        <v>32375917</v>
      </c>
      <c r="B36" t="s">
        <v>770</v>
      </c>
      <c r="C36" t="s">
        <v>138</v>
      </c>
      <c r="D36" t="s">
        <v>97</v>
      </c>
      <c r="E36" t="s">
        <v>67</v>
      </c>
    </row>
    <row r="37" spans="1:5" hidden="1" x14ac:dyDescent="0.3">
      <c r="A37">
        <v>1045137019</v>
      </c>
      <c r="B37" t="s">
        <v>774</v>
      </c>
      <c r="C37" t="s">
        <v>537</v>
      </c>
      <c r="D37" t="s">
        <v>85</v>
      </c>
      <c r="E37" t="s">
        <v>67</v>
      </c>
    </row>
    <row r="38" spans="1:5" hidden="1" x14ac:dyDescent="0.3">
      <c r="A38">
        <v>72220273</v>
      </c>
      <c r="B38" t="s">
        <v>816</v>
      </c>
      <c r="C38" t="s">
        <v>167</v>
      </c>
      <c r="D38" t="s">
        <v>251</v>
      </c>
      <c r="E38" t="s">
        <v>47</v>
      </c>
    </row>
    <row r="39" spans="1:5" hidden="1" x14ac:dyDescent="0.3">
      <c r="A39">
        <v>1003465915</v>
      </c>
      <c r="B39" t="s">
        <v>843</v>
      </c>
      <c r="C39" t="s">
        <v>537</v>
      </c>
      <c r="D39" t="s">
        <v>77</v>
      </c>
      <c r="E39" t="s">
        <v>47</v>
      </c>
    </row>
    <row r="40" spans="1:5" x14ac:dyDescent="0.3">
      <c r="A40">
        <v>78300728</v>
      </c>
      <c r="B40" t="s">
        <v>910</v>
      </c>
      <c r="C40" t="s">
        <v>537</v>
      </c>
      <c r="D40" t="s">
        <v>66</v>
      </c>
      <c r="E40" t="s">
        <v>67</v>
      </c>
    </row>
    <row r="41" spans="1:5" hidden="1" x14ac:dyDescent="0.3">
      <c r="A41">
        <v>1045417808</v>
      </c>
      <c r="B41" t="s">
        <v>973</v>
      </c>
      <c r="C41" t="s">
        <v>177</v>
      </c>
      <c r="D41" t="s">
        <v>97</v>
      </c>
      <c r="E41" t="s">
        <v>67</v>
      </c>
    </row>
    <row r="42" spans="1:5" hidden="1" x14ac:dyDescent="0.3">
      <c r="A42">
        <v>1063285260</v>
      </c>
      <c r="B42" t="s">
        <v>974</v>
      </c>
      <c r="C42" t="s">
        <v>177</v>
      </c>
      <c r="D42" t="s">
        <v>85</v>
      </c>
      <c r="E42" t="s">
        <v>67</v>
      </c>
    </row>
    <row r="43" spans="1:5" hidden="1" x14ac:dyDescent="0.3">
      <c r="A43">
        <v>1033377286</v>
      </c>
      <c r="B43" t="s">
        <v>998</v>
      </c>
      <c r="C43" t="s">
        <v>138</v>
      </c>
      <c r="D43" t="s">
        <v>22</v>
      </c>
      <c r="E43" t="s">
        <v>47</v>
      </c>
    </row>
  </sheetData>
  <autoFilter ref="A1:E43" xr:uid="{9CB57345-87B9-451A-B3CE-3398A1C1728B}">
    <filterColumn colId="3">
      <filters>
        <filter val="CAUCASIA"/>
      </filters>
    </filterColumn>
    <filterColumn colId="4">
      <filters>
        <filter val="BAJO CAUCA"/>
      </filters>
    </filterColumn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TH</vt:lpstr>
      <vt:lpstr>Plano</vt:lpstr>
      <vt:lpstr>Datos</vt:lpstr>
      <vt:lpstr>Hoja2</vt:lpstr>
      <vt:lpstr>supervidores</vt:lpstr>
    </vt:vector>
  </TitlesOfParts>
  <Company>psl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Adolfo Munoz Aguilar</dc:creator>
  <cp:lastModifiedBy>j b</cp:lastModifiedBy>
  <cp:lastPrinted>2024-01-22T15:55:13Z</cp:lastPrinted>
  <dcterms:created xsi:type="dcterms:W3CDTF">2014-08-26T17:04:18Z</dcterms:created>
  <dcterms:modified xsi:type="dcterms:W3CDTF">2026-05-26T00:46:08Z</dcterms:modified>
</cp:coreProperties>
</file>